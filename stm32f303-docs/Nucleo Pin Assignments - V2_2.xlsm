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chen\OneDrive - Conestoga College\Teaching Material F2021\SENG 72005\Nucleo Resources\"/>
    </mc:Choice>
  </mc:AlternateContent>
  <xr:revisionPtr revIDLastSave="0" documentId="13_ncr:1_{F90A5ACC-ECFF-42F5-9D0E-BB4434AB8213}" xr6:coauthVersionLast="36" xr6:coauthVersionMax="47" xr10:uidLastSave="{00000000-0000-0000-0000-000000000000}"/>
  <bookViews>
    <workbookView minimized="1" xWindow="-120" yWindow="-120" windowWidth="29040" windowHeight="15840" tabRatio="369" xr2:uid="{00000000-000D-0000-FFFF-FFFF00000000}"/>
  </bookViews>
  <sheets>
    <sheet name="Pin Assignments" sheetId="1" r:id="rId1"/>
    <sheet name="Nucleo Connectors" sheetId="2" r:id="rId2"/>
    <sheet name="Nucleo Top-Side Map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N72" i="1" l="1"/>
  <c r="B2" i="1"/>
  <c r="N30" i="1" l="1"/>
  <c r="N29" i="1"/>
  <c r="N26" i="1"/>
  <c r="N25" i="1"/>
  <c r="N28" i="1"/>
  <c r="N27" i="1"/>
  <c r="N37" i="1"/>
  <c r="N45" i="1"/>
  <c r="N46" i="1"/>
  <c r="N47" i="1"/>
  <c r="N48" i="1"/>
  <c r="N49" i="1"/>
  <c r="N44" i="1"/>
  <c r="N43" i="1"/>
  <c r="N42" i="1"/>
  <c r="N53" i="1"/>
  <c r="N55" i="1"/>
  <c r="N56" i="1"/>
  <c r="N52" i="1"/>
  <c r="N34" i="1"/>
  <c r="N35" i="1"/>
  <c r="N36" i="1"/>
  <c r="N33" i="1"/>
  <c r="N32" i="1"/>
  <c r="N31" i="1"/>
  <c r="N66" i="1"/>
  <c r="N51" i="1"/>
  <c r="N50" i="1"/>
  <c r="N69" i="1"/>
  <c r="N68" i="1"/>
  <c r="N67" i="1"/>
  <c r="N70" i="1"/>
  <c r="N71" i="1"/>
  <c r="N40" i="1"/>
  <c r="N65" i="1"/>
  <c r="N64" i="1"/>
  <c r="N57" i="1"/>
  <c r="N60" i="1"/>
  <c r="N61" i="1"/>
  <c r="N62" i="1"/>
  <c r="N59" i="1"/>
</calcChain>
</file>

<file path=xl/sharedStrings.xml><?xml version="1.0" encoding="utf-8"?>
<sst xmlns="http://schemas.openxmlformats.org/spreadsheetml/2006/main" count="692" uniqueCount="330">
  <si>
    <t>Robot Function</t>
  </si>
  <si>
    <t>Nucleo Block</t>
  </si>
  <si>
    <t>Nucleo Pin</t>
  </si>
  <si>
    <t>Direction</t>
  </si>
  <si>
    <t>Servo</t>
  </si>
  <si>
    <t>Stepper A</t>
  </si>
  <si>
    <t>Stepper /A</t>
  </si>
  <si>
    <t>Stepper B</t>
  </si>
  <si>
    <t>Stepper /B</t>
  </si>
  <si>
    <t>Notes</t>
  </si>
  <si>
    <t>Limit L</t>
  </si>
  <si>
    <t>Limit R</t>
  </si>
  <si>
    <t>Nucleo Function</t>
  </si>
  <si>
    <t>GPIO out</t>
  </si>
  <si>
    <t>GPIO in</t>
  </si>
  <si>
    <t>out</t>
  </si>
  <si>
    <t>in</t>
  </si>
  <si>
    <t>Tim out - PWM</t>
  </si>
  <si>
    <t>Encoder L</t>
  </si>
  <si>
    <t>Encoder R</t>
  </si>
  <si>
    <t>Tim in - IC</t>
  </si>
  <si>
    <t>PC.0</t>
  </si>
  <si>
    <t>PC.1</t>
  </si>
  <si>
    <t>PC.2</t>
  </si>
  <si>
    <t>PC.3</t>
  </si>
  <si>
    <t>PB.0</t>
  </si>
  <si>
    <t>GPIO.C</t>
  </si>
  <si>
    <t>PC.5</t>
  </si>
  <si>
    <t>PC.6</t>
  </si>
  <si>
    <t>PA.0</t>
  </si>
  <si>
    <t>PA.1</t>
  </si>
  <si>
    <t>TIM2_CH1</t>
  </si>
  <si>
    <t>TIM2_CH2</t>
  </si>
  <si>
    <t>PB.8</t>
  </si>
  <si>
    <t>PB.9</t>
  </si>
  <si>
    <t>PC.8</t>
  </si>
  <si>
    <t>PC.9</t>
  </si>
  <si>
    <t>GPIO.B</t>
  </si>
  <si>
    <t>PC.10</t>
  </si>
  <si>
    <t>PC.11</t>
  </si>
  <si>
    <t>n/a</t>
  </si>
  <si>
    <t>TIM8_CH1N</t>
  </si>
  <si>
    <t>TIM8_CH2N</t>
  </si>
  <si>
    <t>AF4</t>
  </si>
  <si>
    <t>AF1</t>
  </si>
  <si>
    <t>Motor Dir A L</t>
  </si>
  <si>
    <t>Motor Dir B L</t>
  </si>
  <si>
    <t>Motor Dir A R</t>
  </si>
  <si>
    <t>Motor Dir B R</t>
  </si>
  <si>
    <t>connect to scope AFG_OUT through 1k resistor</t>
  </si>
  <si>
    <t>WPS</t>
  </si>
  <si>
    <t>CN7-38</t>
  </si>
  <si>
    <t>CN7-36</t>
  </si>
  <si>
    <t>CN7-35</t>
  </si>
  <si>
    <t>CN7-37</t>
  </si>
  <si>
    <t>CN7-34</t>
  </si>
  <si>
    <t>CN10-6</t>
  </si>
  <si>
    <t>CN10-4</t>
  </si>
  <si>
    <t>CN7-1</t>
  </si>
  <si>
    <t>CN7-2</t>
  </si>
  <si>
    <t>CN10-3</t>
  </si>
  <si>
    <t>CN10-5</t>
  </si>
  <si>
    <t>CN10-2</t>
  </si>
  <si>
    <t>CN10-1</t>
  </si>
  <si>
    <t>CN7-28</t>
  </si>
  <si>
    <t>CN7-30</t>
  </si>
  <si>
    <t>Nucleo 
Connection</t>
  </si>
  <si>
    <t>1.0</t>
  </si>
  <si>
    <t>1.1</t>
  </si>
  <si>
    <t>Revisions:</t>
  </si>
  <si>
    <t>Alternate
Function</t>
  </si>
  <si>
    <t>Scope
Channel</t>
  </si>
  <si>
    <t>CN3-1</t>
  </si>
  <si>
    <t>CN3-2</t>
  </si>
  <si>
    <t>PA.2</t>
  </si>
  <si>
    <t>PA.3</t>
  </si>
  <si>
    <t>USART2_TX</t>
  </si>
  <si>
    <t>USART2_RX</t>
  </si>
  <si>
    <t>AF7</t>
  </si>
  <si>
    <t>ST-Link Tx</t>
  </si>
  <si>
    <t>ST-Link Rx</t>
  </si>
  <si>
    <t>added serial connections</t>
  </si>
  <si>
    <t>initial</t>
  </si>
  <si>
    <t>added nucleo connector pins</t>
  </si>
  <si>
    <t>added connector graphics sheets</t>
  </si>
  <si>
    <t>Keypad R1</t>
  </si>
  <si>
    <t>Keypad R2</t>
  </si>
  <si>
    <t>Keypad R3</t>
  </si>
  <si>
    <t>Keypad R4</t>
  </si>
  <si>
    <t>Keypad C1</t>
  </si>
  <si>
    <t>Keypad C2</t>
  </si>
  <si>
    <t>Keypad C3</t>
  </si>
  <si>
    <t>Keypad C4</t>
  </si>
  <si>
    <t>GPIO out (OD)</t>
  </si>
  <si>
    <t>GPIO in (PU)</t>
  </si>
  <si>
    <t>GPIO.A</t>
  </si>
  <si>
    <t>PA.13</t>
  </si>
  <si>
    <t>PA.14</t>
  </si>
  <si>
    <t>PA.10</t>
  </si>
  <si>
    <t>PA.11</t>
  </si>
  <si>
    <t>PA.8</t>
  </si>
  <si>
    <t>PA.9</t>
  </si>
  <si>
    <t>added keypad connections (lab)</t>
  </si>
  <si>
    <t>PA.5</t>
  </si>
  <si>
    <t>PA.4</t>
  </si>
  <si>
    <t>DAC1, ch1</t>
  </si>
  <si>
    <t>DAC1, ch2</t>
  </si>
  <si>
    <t>PC.12</t>
  </si>
  <si>
    <t>PC.13</t>
  </si>
  <si>
    <t>PC.14</t>
  </si>
  <si>
    <t>PC.15</t>
  </si>
  <si>
    <t>Ultrasonic Trigger</t>
  </si>
  <si>
    <t>Ultrasonic Echo</t>
  </si>
  <si>
    <t>Tim out - one-pulse</t>
  </si>
  <si>
    <t>PA.12</t>
  </si>
  <si>
    <t>CN10-12</t>
  </si>
  <si>
    <t>TIM16_CH1</t>
  </si>
  <si>
    <t>Tim in - slave w reset</t>
  </si>
  <si>
    <t>AF2</t>
  </si>
  <si>
    <t xml:space="preserve">added DAC outputs </t>
  </si>
  <si>
    <t>added reserved pins for debug</t>
  </si>
  <si>
    <t>PA.6</t>
  </si>
  <si>
    <t>PA.7</t>
  </si>
  <si>
    <t>CN7-32</t>
  </si>
  <si>
    <t>CN10-11</t>
  </si>
  <si>
    <t>CN10-13</t>
  </si>
  <si>
    <t>CN10-15</t>
  </si>
  <si>
    <t>CN10-23</t>
  </si>
  <si>
    <t>CN10-21</t>
  </si>
  <si>
    <t>CN10-33</t>
  </si>
  <si>
    <t>CN10-14</t>
  </si>
  <si>
    <t>Serial Tx - HW</t>
  </si>
  <si>
    <t>Serial Rx - HW</t>
  </si>
  <si>
    <t>Serial Tx - Virtual</t>
  </si>
  <si>
    <t>Serial Rx - Virtual</t>
  </si>
  <si>
    <t>&lt;debugger interface&gt;</t>
  </si>
  <si>
    <t>CN7-13</t>
  </si>
  <si>
    <t>CN7-15</t>
  </si>
  <si>
    <t>regrouped by function</t>
  </si>
  <si>
    <t>added Morpho pin assignments</t>
  </si>
  <si>
    <t>added considerations for analog</t>
  </si>
  <si>
    <t>added gotcha pins for debugger &amp; DAC</t>
  </si>
  <si>
    <t>added ideas for extending design</t>
  </si>
  <si>
    <t>CAMERA MODULE INTERFACE</t>
  </si>
  <si>
    <t>DRIVE MOTOR INTERFACE</t>
  </si>
  <si>
    <t>ULTRASONIC DISTANCE SENSOR INTERFACE</t>
  </si>
  <si>
    <t>4x4 MATRIX KEYPAD INTERFACE</t>
  </si>
  <si>
    <t>ANALOG OUT</t>
  </si>
  <si>
    <t>COM PORTS (UART)</t>
  </si>
  <si>
    <t>AF0</t>
  </si>
  <si>
    <t>SWD - Data</t>
  </si>
  <si>
    <t>SWD - Clock</t>
  </si>
  <si>
    <t>Serial-Wire Debug Interface</t>
  </si>
  <si>
    <t>RESERVED PINS</t>
  </si>
  <si>
    <t>LCD MODULE INTERFACE</t>
  </si>
  <si>
    <t>LCD - RS</t>
  </si>
  <si>
    <t>LCD - E</t>
  </si>
  <si>
    <t>LCD - D4</t>
  </si>
  <si>
    <t>LCD - D5</t>
  </si>
  <si>
    <t>LCD - D6</t>
  </si>
  <si>
    <t>LCD - D7</t>
  </si>
  <si>
    <t>4-bit interface - write only</t>
  </si>
  <si>
    <t>PA.15</t>
  </si>
  <si>
    <t>PB.1</t>
  </si>
  <si>
    <t>PB.2</t>
  </si>
  <si>
    <t>PB.3</t>
  </si>
  <si>
    <t>PB.4</t>
  </si>
  <si>
    <t>PB.5</t>
  </si>
  <si>
    <t>PB.6</t>
  </si>
  <si>
    <t>PB.7</t>
  </si>
  <si>
    <t>PB.10</t>
  </si>
  <si>
    <t>PB.11</t>
  </si>
  <si>
    <t>PB.12</t>
  </si>
  <si>
    <t>PB.13</t>
  </si>
  <si>
    <t>PB.14</t>
  </si>
  <si>
    <t>PB.15</t>
  </si>
  <si>
    <t>PC.4</t>
  </si>
  <si>
    <t>PC.7</t>
  </si>
  <si>
    <t>TIM3_CH2</t>
  </si>
  <si>
    <t>CN10-19</t>
  </si>
  <si>
    <t>added pin used/available table</t>
  </si>
  <si>
    <t>USART3_Tx</t>
  </si>
  <si>
    <t>USART3_Rx</t>
  </si>
  <si>
    <t>USART3_RTS</t>
  </si>
  <si>
    <t>USART3_CTS</t>
  </si>
  <si>
    <t>Last Modified:</t>
  </si>
  <si>
    <t>CN7-3</t>
  </si>
  <si>
    <t>CN7-23</t>
  </si>
  <si>
    <t>CN7-25</t>
  </si>
  <si>
    <t>CN7-27</t>
  </si>
  <si>
    <t>&lt;32 kHz XTAL for LSE clock&gt;</t>
  </si>
  <si>
    <t>LSE Clock</t>
  </si>
  <si>
    <t>&lt;OSC32_OUT&gt;</t>
  </si>
  <si>
    <t>&lt;OSC32_IN&gt;</t>
  </si>
  <si>
    <t>ONLY AVAILABLE  with H/W change - see Nucleo manual 6.7.2</t>
  </si>
  <si>
    <t>CN10-22</t>
  </si>
  <si>
    <r>
      <t xml:space="preserve">must be </t>
    </r>
    <r>
      <rPr>
        <b/>
        <u/>
        <sz val="11"/>
        <color theme="1"/>
        <rFont val="Calibri"/>
        <family val="2"/>
        <scheme val="minor"/>
      </rPr>
      <t>open drain</t>
    </r>
    <r>
      <rPr>
        <sz val="11"/>
        <color theme="1"/>
        <rFont val="Calibri"/>
        <family val="2"/>
        <scheme val="minor"/>
      </rPr>
      <t xml:space="preserve"> to avoid processor damage</t>
    </r>
  </si>
  <si>
    <r>
      <t>must use</t>
    </r>
    <r>
      <rPr>
        <b/>
        <sz val="11"/>
        <color theme="1"/>
        <rFont val="Calibri"/>
        <family val="2"/>
        <scheme val="minor"/>
      </rPr>
      <t xml:space="preserve"> </t>
    </r>
    <r>
      <rPr>
        <b/>
        <u/>
        <sz val="11"/>
        <color theme="1"/>
        <rFont val="Calibri"/>
        <family val="2"/>
        <scheme val="minor"/>
      </rPr>
      <t>internal pull-up</t>
    </r>
    <r>
      <rPr>
        <sz val="11"/>
        <color theme="1"/>
        <rFont val="Calibri"/>
        <family val="2"/>
        <scheme val="minor"/>
      </rPr>
      <t xml:space="preserve"> (external PU nice too)</t>
    </r>
  </si>
  <si>
    <t>moved  keypad rows 3&amp;4 to PC 12-13 to avoid PA 4-5 (DAC out)</t>
  </si>
  <si>
    <r>
      <t xml:space="preserve">DAC OUT! - </t>
    </r>
    <r>
      <rPr>
        <b/>
        <u/>
        <sz val="11"/>
        <color theme="1"/>
        <rFont val="Calibri"/>
        <family val="2"/>
        <scheme val="minor"/>
      </rPr>
      <t>must</t>
    </r>
    <r>
      <rPr>
        <sz val="11"/>
        <color theme="1"/>
        <rFont val="Calibri"/>
        <family val="2"/>
        <scheme val="minor"/>
      </rPr>
      <t xml:space="preserve"> be this pin - config pin as analog </t>
    </r>
    <r>
      <rPr>
        <i/>
        <u/>
        <sz val="11"/>
        <color theme="1"/>
        <rFont val="Calibri"/>
        <family val="2"/>
        <scheme val="minor"/>
      </rPr>
      <t>input</t>
    </r>
  </si>
  <si>
    <t>CN10-24</t>
  </si>
  <si>
    <t>CN10-27</t>
  </si>
  <si>
    <t>CN10-29</t>
  </si>
  <si>
    <t>CN10-17</t>
  </si>
  <si>
    <t>CN7-21</t>
  </si>
  <si>
    <t>confirmed LCD connections (PB.3 questionable due to SWO signal - avoided)</t>
  </si>
  <si>
    <t>CAN BUS</t>
  </si>
  <si>
    <t>CAN Rx</t>
  </si>
  <si>
    <t>CAN TX</t>
  </si>
  <si>
    <t>AF9</t>
  </si>
  <si>
    <t>CAN_RX</t>
  </si>
  <si>
    <t>CAN_TX</t>
  </si>
  <si>
    <t>connect to CAN transceiver RxD pin</t>
  </si>
  <si>
    <t>connect to CAN transceiver TxD pin</t>
  </si>
  <si>
    <t>CN10-26</t>
  </si>
  <si>
    <t>CAN on PB.8, PB.9.  Moved from L motor direction bits</t>
  </si>
  <si>
    <t>confirmed AF7 for USART3 pins</t>
  </si>
  <si>
    <t>CN10-25</t>
  </si>
  <si>
    <t>CN10-18</t>
  </si>
  <si>
    <t>CN10-30</t>
  </si>
  <si>
    <t>CN10-28</t>
  </si>
  <si>
    <t>added Nucleo pin assignments for USART3</t>
  </si>
  <si>
    <t>Nucleo hookup for S4 W2021 Project</t>
  </si>
  <si>
    <t>Group A - D0</t>
  </si>
  <si>
    <t>Group A - D1</t>
  </si>
  <si>
    <t>Group A - D2</t>
  </si>
  <si>
    <t>Group A - D3</t>
  </si>
  <si>
    <t>Group A - D4</t>
  </si>
  <si>
    <t>Group A - D5</t>
  </si>
  <si>
    <t>Group A - D6</t>
  </si>
  <si>
    <t>Analog TP</t>
  </si>
  <si>
    <t>Group B - D10</t>
  </si>
  <si>
    <t>Group B - D11</t>
  </si>
  <si>
    <t>Group B - D12</t>
  </si>
  <si>
    <t>Group B - D13</t>
  </si>
  <si>
    <t>real UART Tx out</t>
  </si>
  <si>
    <t>real UART Rx in</t>
  </si>
  <si>
    <t>real UART RTS out</t>
  </si>
  <si>
    <t>real UART CTS in</t>
  </si>
  <si>
    <t>LED</t>
  </si>
  <si>
    <t>CN7-17</t>
  </si>
  <si>
    <t>Green LED, cathode to gnd, 510 ohm in series to pin</t>
  </si>
  <si>
    <t>Group A - D7</t>
  </si>
  <si>
    <t>Generic Indicator LED</t>
  </si>
  <si>
    <t>added indicator LED on PA.15 - Nucleo LED on PA.5 shared with DAC out</t>
  </si>
  <si>
    <t>connect to MAX3232 or equiv</t>
  </si>
  <si>
    <t>swapped left motor direction bits with 2 keypad row bits (keypad messed up anyway)</t>
  </si>
  <si>
    <t>reordered keypad &amp; ultrasonic in table to keep debug pins together</t>
  </si>
  <si>
    <t>Group C - D0</t>
  </si>
  <si>
    <t>Group C - D1</t>
  </si>
  <si>
    <t>Group C - D2</t>
  </si>
  <si>
    <t>Group C - D3</t>
  </si>
  <si>
    <t>added Group C digital outputs for USART3 &amp; CAN</t>
  </si>
  <si>
    <t>Serial RTS - HW (optional)</t>
  </si>
  <si>
    <t>Serial CTS - HW (optional)</t>
  </si>
  <si>
    <t xml:space="preserve"> (optional) connect to MAX3232 or equiv</t>
  </si>
  <si>
    <t>DAC output - DTMF - low group</t>
  </si>
  <si>
    <t>DAC output - DTMF - high group</t>
  </si>
  <si>
    <t>GPIO</t>
  </si>
  <si>
    <t>Moved keypad to PB.0 to PB.7 to keep lines together</t>
  </si>
  <si>
    <t>2.0</t>
  </si>
  <si>
    <t>Moved LCD to PA.6 to PA.11 to keep lines together</t>
  </si>
  <si>
    <t>Moved Servo from PB.0 to PB.15 (TIM1, Ch2N to TIM15, Ch2N) to free up pin for keypad</t>
  </si>
  <si>
    <t>CN10-31</t>
  </si>
  <si>
    <t>TIM15_CH2</t>
  </si>
  <si>
    <t>Pins Used by port</t>
  </si>
  <si>
    <t>Analog output</t>
  </si>
  <si>
    <t>PD.2</t>
  </si>
  <si>
    <t>PF.1</t>
  </si>
  <si>
    <t>PC</t>
  </si>
  <si>
    <t>Motor PWM L</t>
  </si>
  <si>
    <t xml:space="preserve">Motor PWM R </t>
  </si>
  <si>
    <t>Group C - D4</t>
  </si>
  <si>
    <t>Group C - D5</t>
  </si>
  <si>
    <t>Group C - D6</t>
  </si>
  <si>
    <t>Group C - D7</t>
  </si>
  <si>
    <t>Group D - D8</t>
  </si>
  <si>
    <t>Group D - D9</t>
  </si>
  <si>
    <t>Group D - D10</t>
  </si>
  <si>
    <t>Group D - D11</t>
  </si>
  <si>
    <t>Group D - D12</t>
  </si>
  <si>
    <t>Group D - D13</t>
  </si>
  <si>
    <t>Group D - D14</t>
  </si>
  <si>
    <t>Group D - D15</t>
  </si>
  <si>
    <t>Group E - D2</t>
  </si>
  <si>
    <t>Group E - D3</t>
  </si>
  <si>
    <t>Group E - D4</t>
  </si>
  <si>
    <t>Group E - D5</t>
  </si>
  <si>
    <t>I2C SCL</t>
  </si>
  <si>
    <t>I2C SDA</t>
  </si>
  <si>
    <t>I2C1_SCL</t>
  </si>
  <si>
    <t>I2C1_SDA</t>
  </si>
  <si>
    <t>I2C Serial Clock</t>
  </si>
  <si>
    <t>I2C Serial Data</t>
  </si>
  <si>
    <t>bidir</t>
  </si>
  <si>
    <t>Alternate function for pins on keypad connector</t>
  </si>
  <si>
    <t>SPI Clock</t>
  </si>
  <si>
    <t>SPI MISO</t>
  </si>
  <si>
    <t>SPI MOSI</t>
  </si>
  <si>
    <t>SPI Serial Clock</t>
  </si>
  <si>
    <t>SPI MOSI Data</t>
  </si>
  <si>
    <t>SPI MISO Data</t>
  </si>
  <si>
    <t>SPI1_SCLK</t>
  </si>
  <si>
    <t>SPI1_MISO</t>
  </si>
  <si>
    <t>SPI1_MOSI</t>
  </si>
  <si>
    <t>AF5</t>
  </si>
  <si>
    <t>Added alternate keypad connector uses for SPI &amp; I2C</t>
  </si>
  <si>
    <t>5V
Tolerant</t>
  </si>
  <si>
    <t>SPI SS</t>
  </si>
  <si>
    <t>SPI Slave Select</t>
  </si>
  <si>
    <t>SPI1_NSS</t>
  </si>
  <si>
    <t>I2C (overloaded function on keypad)</t>
  </si>
  <si>
    <t>SPI (overloaded function on keypad and user LED)</t>
  </si>
  <si>
    <t>Available</t>
  </si>
  <si>
    <t>ü</t>
  </si>
  <si>
    <t>x</t>
  </si>
  <si>
    <t>Added list of unused GPIO pins</t>
  </si>
  <si>
    <t>Added column for 5V tolerance of pins</t>
  </si>
  <si>
    <t>Alternate function for pin driving user LED</t>
  </si>
  <si>
    <r>
      <rPr>
        <b/>
        <i/>
        <u/>
        <sz val="11"/>
        <color rgb="FFFF0000"/>
        <rFont val="Calibri"/>
        <family val="2"/>
        <scheme val="minor"/>
      </rPr>
      <t>NOT</t>
    </r>
    <r>
      <rPr>
        <sz val="11"/>
        <color rgb="FFFF0000"/>
        <rFont val="Calibri"/>
        <family val="2"/>
        <scheme val="minor"/>
      </rPr>
      <t xml:space="preserve"> AVAILABLE : reserved for debugger, AF pre-set</t>
    </r>
  </si>
  <si>
    <t>not available on Morpho connector - ST-Link only</t>
  </si>
  <si>
    <t>green LED on PA.5 on Nucleo (unless jumper removed)</t>
  </si>
  <si>
    <t>Reordered debug connections so related signals are grouped together</t>
  </si>
  <si>
    <t>V2.1</t>
  </si>
  <si>
    <t>Group B - D15</t>
  </si>
  <si>
    <t>Group B - D14</t>
  </si>
  <si>
    <t>Group B - D9, Analog TP</t>
  </si>
  <si>
    <t>Group B - D8, Analog TP</t>
  </si>
  <si>
    <t>Group E - D7</t>
  </si>
  <si>
    <t>Group E - D6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</si>
</sst>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color rgb="FF0070C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i/>
      <sz val="11"/>
      <color rgb="FFC0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2"/>
      <color rgb="FFFF0000"/>
      <name val="Wingdings"/>
      <charset val="2"/>
    </font>
    <font>
      <b/>
      <i/>
      <u/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979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1" fillId="0" borderId="0" xfId="0" applyFont="1"/>
    <xf numFmtId="0" fontId="0" fillId="0" borderId="0" xfId="0" applyAlignment="1">
      <alignment horizontal="right"/>
    </xf>
    <xf numFmtId="0" fontId="2" fillId="0" borderId="0" xfId="0" applyFont="1"/>
    <xf numFmtId="0" fontId="3" fillId="0" borderId="0" xfId="0" applyFont="1"/>
    <xf numFmtId="0" fontId="1" fillId="0" borderId="0" xfId="0" applyFont="1" applyAlignment="1">
      <alignment vertical="top"/>
    </xf>
    <xf numFmtId="0" fontId="1" fillId="0" borderId="0" xfId="0" applyFont="1" applyAlignment="1">
      <alignment vertical="top" wrapText="1"/>
    </xf>
    <xf numFmtId="0" fontId="0" fillId="0" borderId="0" xfId="0" applyAlignment="1">
      <alignment vertical="top"/>
    </xf>
    <xf numFmtId="0" fontId="0" fillId="0" borderId="0" xfId="0" quotePrefix="1" applyAlignment="1">
      <alignment horizontal="left"/>
    </xf>
    <xf numFmtId="0" fontId="4" fillId="0" borderId="0" xfId="0" applyFont="1"/>
    <xf numFmtId="0" fontId="6" fillId="0" borderId="0" xfId="0" applyFont="1"/>
    <xf numFmtId="0" fontId="5" fillId="0" borderId="0" xfId="0" applyFont="1"/>
    <xf numFmtId="0" fontId="7" fillId="0" borderId="0" xfId="0" applyFont="1"/>
    <xf numFmtId="0" fontId="8" fillId="0" borderId="0" xfId="0" applyFont="1"/>
    <xf numFmtId="0" fontId="10" fillId="0" borderId="0" xfId="0" applyFont="1"/>
    <xf numFmtId="0" fontId="11" fillId="0" borderId="0" xfId="0" applyFont="1"/>
    <xf numFmtId="15" fontId="1" fillId="0" borderId="0" xfId="0" applyNumberFormat="1" applyFont="1" applyAlignment="1">
      <alignment horizontal="left"/>
    </xf>
    <xf numFmtId="0" fontId="1" fillId="0" borderId="0" xfId="0" applyFont="1" applyAlignment="1">
      <alignment horizontal="left"/>
    </xf>
    <xf numFmtId="0" fontId="0" fillId="3" borderId="0" xfId="0" applyFont="1" applyFill="1"/>
    <xf numFmtId="0" fontId="0" fillId="4" borderId="0" xfId="0" applyFont="1" applyFill="1"/>
    <xf numFmtId="0" fontId="0" fillId="0" borderId="0" xfId="0" applyAlignment="1">
      <alignment horizontal="left"/>
    </xf>
    <xf numFmtId="0" fontId="0" fillId="0" borderId="1" xfId="0" applyBorder="1"/>
    <xf numFmtId="0" fontId="0" fillId="0" borderId="0" xfId="0" applyBorder="1"/>
    <xf numFmtId="0" fontId="0" fillId="0" borderId="2" xfId="0" applyBorder="1"/>
    <xf numFmtId="0" fontId="0" fillId="0" borderId="1" xfId="0" applyBorder="1" applyAlignment="1">
      <alignment vertical="top"/>
    </xf>
    <xf numFmtId="0" fontId="0" fillId="0" borderId="0" xfId="0" applyBorder="1" applyAlignment="1">
      <alignment vertical="top"/>
    </xf>
    <xf numFmtId="0" fontId="0" fillId="0" borderId="2" xfId="0" applyBorder="1" applyAlignment="1">
      <alignment vertical="top"/>
    </xf>
    <xf numFmtId="0" fontId="10" fillId="2" borderId="0" xfId="0" applyFont="1" applyFill="1" applyBorder="1"/>
    <xf numFmtId="0" fontId="10" fillId="4" borderId="0" xfId="0" applyFont="1" applyFill="1" applyBorder="1"/>
    <xf numFmtId="0" fontId="10" fillId="3" borderId="0" xfId="0" applyFont="1" applyFill="1" applyBorder="1"/>
    <xf numFmtId="0" fontId="8" fillId="0" borderId="1" xfId="0" applyFont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10" fillId="2" borderId="0" xfId="0" applyFont="1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Font="1" applyAlignment="1">
      <alignment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center" vertical="top" wrapText="1"/>
    </xf>
    <xf numFmtId="0" fontId="0" fillId="0" borderId="0" xfId="0" applyAlignment="1">
      <alignment horizontal="center"/>
    </xf>
    <xf numFmtId="0" fontId="0" fillId="4" borderId="0" xfId="0" applyFont="1" applyFill="1" applyAlignment="1">
      <alignment horizontal="center"/>
    </xf>
    <xf numFmtId="0" fontId="0" fillId="3" borderId="0" xfId="0" applyFont="1" applyFill="1" applyAlignment="1">
      <alignment horizontal="center"/>
    </xf>
    <xf numFmtId="0" fontId="4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0" fontId="1" fillId="0" borderId="6" xfId="0" applyFont="1" applyBorder="1" applyAlignment="1">
      <alignment horizontal="center" vertical="center" wrapText="1"/>
    </xf>
    <xf numFmtId="0" fontId="0" fillId="0" borderId="7" xfId="0" applyBorder="1" applyAlignment="1">
      <alignment vertical="center"/>
    </xf>
    <xf numFmtId="0" fontId="0" fillId="0" borderId="8" xfId="0" applyBorder="1" applyAlignme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172325</xdr:colOff>
      <xdr:row>29</xdr:row>
      <xdr:rowOff>19824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6268325" cy="55443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315475</xdr:colOff>
      <xdr:row>35</xdr:row>
      <xdr:rowOff>29510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0" y="0"/>
          <a:ext cx="8240275" cy="6697010"/>
          <a:chOff x="0" y="0"/>
          <a:chExt cx="8240275" cy="6697010"/>
        </a:xfrm>
      </xdr:grpSpPr>
      <xdr:pic>
        <xdr:nvPicPr>
          <xdr:cNvPr id="2" name="Picture 1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0"/>
            <a:ext cx="8240275" cy="6697010"/>
          </a:xfrm>
          <a:prstGeom prst="rect">
            <a:avLst/>
          </a:prstGeom>
        </xdr:spPr>
      </xdr:pic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2381250" y="1885950"/>
            <a:ext cx="523875" cy="628650"/>
          </a:xfrm>
          <a:prstGeom prst="rect">
            <a:avLst/>
          </a:prstGeom>
          <a:noFill/>
          <a:ln w="2540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/>
        </xdr:nvSpPr>
        <xdr:spPr>
          <a:xfrm>
            <a:off x="1762125" y="2809875"/>
            <a:ext cx="523875" cy="3524250"/>
          </a:xfrm>
          <a:prstGeom prst="rect">
            <a:avLst/>
          </a:prstGeom>
          <a:noFill/>
          <a:ln w="2540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5924550" y="2809875"/>
            <a:ext cx="523875" cy="3524250"/>
          </a:xfrm>
          <a:prstGeom prst="rect">
            <a:avLst/>
          </a:prstGeom>
          <a:noFill/>
          <a:ln w="2540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119"/>
  <sheetViews>
    <sheetView tabSelected="1" zoomScale="130" zoomScaleNormal="130" workbookViewId="0">
      <pane ySplit="5" topLeftCell="A38" activePane="bottomLeft" state="frozen"/>
      <selection pane="bottomLeft" activeCell="E42" sqref="E42:E45"/>
    </sheetView>
  </sheetViews>
  <sheetFormatPr defaultRowHeight="14.4" x14ac:dyDescent="0.3"/>
  <cols>
    <col min="1" max="1" width="29.6640625" customWidth="1"/>
    <col min="2" max="2" width="27.44140625" customWidth="1"/>
    <col min="3" max="3" width="12.44140625" customWidth="1"/>
    <col min="4" max="4" width="9.6640625" customWidth="1"/>
    <col min="5" max="5" width="10.5546875" customWidth="1"/>
    <col min="6" max="6" width="10.109375" style="42" customWidth="1"/>
    <col min="7" max="7" width="11.109375" customWidth="1"/>
    <col min="8" max="8" width="9.109375" customWidth="1"/>
    <col min="9" max="9" width="24" customWidth="1"/>
    <col min="10" max="10" width="55.6640625" customWidth="1"/>
    <col min="11" max="11" width="8.5546875" customWidth="1"/>
    <col min="12" max="13" width="9.109375" customWidth="1"/>
    <col min="14" max="14" width="14.109375" customWidth="1"/>
    <col min="15" max="15" width="5.88671875" customWidth="1"/>
    <col min="16" max="19" width="9.109375" customWidth="1"/>
    <col min="27" max="27" width="16" customWidth="1"/>
  </cols>
  <sheetData>
    <row r="1" spans="1:18" s="4" customFormat="1" ht="23.4" x14ac:dyDescent="0.45">
      <c r="A1" s="3" t="s">
        <v>222</v>
      </c>
      <c r="E1"/>
      <c r="F1" s="42"/>
      <c r="G1"/>
      <c r="H1"/>
      <c r="I1"/>
      <c r="J1"/>
      <c r="K1"/>
      <c r="L1"/>
    </row>
    <row r="2" spans="1:18" x14ac:dyDescent="0.3">
      <c r="A2" t="s">
        <v>185</v>
      </c>
      <c r="B2" s="16" t="e">
        <f ca="1">LastModified()</f>
        <v>#NAME?</v>
      </c>
      <c r="C2" t="s">
        <v>50</v>
      </c>
    </row>
    <row r="3" spans="1:18" x14ac:dyDescent="0.3">
      <c r="A3" s="17" t="s">
        <v>323</v>
      </c>
      <c r="B3" s="2"/>
    </row>
    <row r="4" spans="1:18" ht="15" thickBot="1" x14ac:dyDescent="0.35"/>
    <row r="5" spans="1:18" s="7" customFormat="1" ht="33.75" customHeight="1" thickBot="1" x14ac:dyDescent="0.35">
      <c r="A5" s="40" t="s">
        <v>0</v>
      </c>
      <c r="B5" s="40" t="s">
        <v>12</v>
      </c>
      <c r="C5" s="40" t="s">
        <v>1</v>
      </c>
      <c r="D5" s="41" t="s">
        <v>70</v>
      </c>
      <c r="E5" s="40" t="s">
        <v>2</v>
      </c>
      <c r="F5" s="41" t="s">
        <v>307</v>
      </c>
      <c r="G5" s="41" t="s">
        <v>66</v>
      </c>
      <c r="H5" s="40" t="s">
        <v>3</v>
      </c>
      <c r="I5" s="41" t="s">
        <v>71</v>
      </c>
      <c r="J5" s="40" t="s">
        <v>9</v>
      </c>
      <c r="K5" s="5"/>
      <c r="L5" s="47" t="s">
        <v>265</v>
      </c>
      <c r="M5" s="48"/>
      <c r="N5" s="48"/>
      <c r="O5" s="48"/>
      <c r="P5" s="49"/>
      <c r="Q5"/>
    </row>
    <row r="6" spans="1:18" s="7" customFormat="1" x14ac:dyDescent="0.3">
      <c r="A6" s="5"/>
      <c r="B6" s="39"/>
      <c r="C6" s="5"/>
      <c r="D6" s="6"/>
      <c r="E6" s="5"/>
      <c r="F6" s="40"/>
      <c r="G6" s="6"/>
      <c r="H6" s="5"/>
      <c r="I6" s="6"/>
      <c r="J6" s="5"/>
      <c r="K6" s="5"/>
      <c r="L6" s="24"/>
      <c r="M6" s="25"/>
      <c r="N6" s="25"/>
      <c r="O6" s="25"/>
      <c r="P6" s="26"/>
      <c r="Q6"/>
      <c r="R6"/>
    </row>
    <row r="7" spans="1:18" x14ac:dyDescent="0.3">
      <c r="A7" s="13" t="s">
        <v>143</v>
      </c>
      <c r="L7" s="21"/>
      <c r="M7" s="27" t="s">
        <v>29</v>
      </c>
      <c r="N7" s="37" t="s">
        <v>25</v>
      </c>
      <c r="O7" s="27" t="s">
        <v>21</v>
      </c>
      <c r="P7" s="23"/>
    </row>
    <row r="8" spans="1:18" x14ac:dyDescent="0.3">
      <c r="A8" t="s">
        <v>5</v>
      </c>
      <c r="B8" t="s">
        <v>13</v>
      </c>
      <c r="C8" t="s">
        <v>26</v>
      </c>
      <c r="D8" t="s">
        <v>40</v>
      </c>
      <c r="E8" t="s">
        <v>21</v>
      </c>
      <c r="F8" s="42" t="s">
        <v>315</v>
      </c>
      <c r="G8" t="s">
        <v>51</v>
      </c>
      <c r="H8" t="s">
        <v>15</v>
      </c>
      <c r="I8" t="s">
        <v>242</v>
      </c>
      <c r="L8" s="21"/>
      <c r="M8" s="27" t="s">
        <v>30</v>
      </c>
      <c r="N8" s="37" t="s">
        <v>163</v>
      </c>
      <c r="O8" s="27" t="s">
        <v>22</v>
      </c>
      <c r="P8" s="23"/>
    </row>
    <row r="9" spans="1:18" x14ac:dyDescent="0.3">
      <c r="A9" t="s">
        <v>6</v>
      </c>
      <c r="B9" t="s">
        <v>13</v>
      </c>
      <c r="C9" t="s">
        <v>26</v>
      </c>
      <c r="D9" t="s">
        <v>40</v>
      </c>
      <c r="E9" t="s">
        <v>22</v>
      </c>
      <c r="F9" s="42" t="s">
        <v>315</v>
      </c>
      <c r="G9" t="s">
        <v>52</v>
      </c>
      <c r="H9" t="s">
        <v>15</v>
      </c>
      <c r="I9" t="s">
        <v>229</v>
      </c>
      <c r="L9" s="21"/>
      <c r="M9" s="28" t="s">
        <v>74</v>
      </c>
      <c r="N9" s="37" t="s">
        <v>164</v>
      </c>
      <c r="O9" s="27" t="s">
        <v>23</v>
      </c>
      <c r="P9" s="23"/>
    </row>
    <row r="10" spans="1:18" x14ac:dyDescent="0.3">
      <c r="A10" t="s">
        <v>7</v>
      </c>
      <c r="B10" t="s">
        <v>13</v>
      </c>
      <c r="C10" t="s">
        <v>26</v>
      </c>
      <c r="D10" t="s">
        <v>40</v>
      </c>
      <c r="E10" t="s">
        <v>23</v>
      </c>
      <c r="F10" s="42" t="s">
        <v>315</v>
      </c>
      <c r="G10" t="s">
        <v>53</v>
      </c>
      <c r="H10" t="s">
        <v>15</v>
      </c>
      <c r="I10" t="s">
        <v>228</v>
      </c>
      <c r="L10" s="21"/>
      <c r="M10" s="28" t="s">
        <v>75</v>
      </c>
      <c r="N10" s="37" t="s">
        <v>165</v>
      </c>
      <c r="O10" s="27" t="s">
        <v>24</v>
      </c>
      <c r="P10" s="23"/>
    </row>
    <row r="11" spans="1:18" x14ac:dyDescent="0.3">
      <c r="A11" t="s">
        <v>8</v>
      </c>
      <c r="B11" t="s">
        <v>13</v>
      </c>
      <c r="C11" t="s">
        <v>26</v>
      </c>
      <c r="D11" t="s">
        <v>40</v>
      </c>
      <c r="E11" t="s">
        <v>24</v>
      </c>
      <c r="F11" s="42" t="s">
        <v>315</v>
      </c>
      <c r="G11" t="s">
        <v>54</v>
      </c>
      <c r="H11" t="s">
        <v>15</v>
      </c>
      <c r="I11" t="s">
        <v>227</v>
      </c>
      <c r="L11" s="21"/>
      <c r="M11" s="27" t="s">
        <v>104</v>
      </c>
      <c r="N11" s="37" t="s">
        <v>166</v>
      </c>
      <c r="O11" s="22" t="s">
        <v>176</v>
      </c>
      <c r="P11" s="23"/>
    </row>
    <row r="12" spans="1:18" x14ac:dyDescent="0.3">
      <c r="A12" t="s">
        <v>4</v>
      </c>
      <c r="B12" t="s">
        <v>17</v>
      </c>
      <c r="C12" t="s">
        <v>264</v>
      </c>
      <c r="D12" s="1" t="s">
        <v>44</v>
      </c>
      <c r="E12" t="s">
        <v>175</v>
      </c>
      <c r="F12" s="42" t="s">
        <v>315</v>
      </c>
      <c r="G12" t="s">
        <v>214</v>
      </c>
      <c r="H12" t="s">
        <v>15</v>
      </c>
      <c r="I12" t="s">
        <v>226</v>
      </c>
      <c r="L12" s="21"/>
      <c r="M12" s="27" t="s">
        <v>103</v>
      </c>
      <c r="N12" s="37" t="s">
        <v>167</v>
      </c>
      <c r="O12" s="27" t="s">
        <v>27</v>
      </c>
      <c r="P12" s="23"/>
    </row>
    <row r="13" spans="1:18" x14ac:dyDescent="0.3">
      <c r="A13" t="s">
        <v>10</v>
      </c>
      <c r="B13" t="s">
        <v>14</v>
      </c>
      <c r="C13" t="s">
        <v>26</v>
      </c>
      <c r="D13" t="s">
        <v>40</v>
      </c>
      <c r="E13" t="s">
        <v>27</v>
      </c>
      <c r="F13" s="42" t="s">
        <v>315</v>
      </c>
      <c r="G13" t="s">
        <v>56</v>
      </c>
      <c r="H13" t="s">
        <v>16</v>
      </c>
      <c r="I13" t="s">
        <v>225</v>
      </c>
      <c r="L13" s="21"/>
      <c r="M13" s="27" t="s">
        <v>121</v>
      </c>
      <c r="N13" s="37" t="s">
        <v>168</v>
      </c>
      <c r="O13" s="27" t="s">
        <v>28</v>
      </c>
      <c r="P13" s="23"/>
    </row>
    <row r="14" spans="1:18" ht="15.6" x14ac:dyDescent="0.3">
      <c r="A14" t="s">
        <v>11</v>
      </c>
      <c r="B14" t="s">
        <v>14</v>
      </c>
      <c r="C14" t="s">
        <v>26</v>
      </c>
      <c r="D14" t="s">
        <v>40</v>
      </c>
      <c r="E14" t="s">
        <v>28</v>
      </c>
      <c r="F14" s="46" t="s">
        <v>314</v>
      </c>
      <c r="G14" t="s">
        <v>57</v>
      </c>
      <c r="H14" t="s">
        <v>16</v>
      </c>
      <c r="I14" t="s">
        <v>224</v>
      </c>
      <c r="L14" s="21"/>
      <c r="M14" s="27" t="s">
        <v>122</v>
      </c>
      <c r="N14" s="37" t="s">
        <v>169</v>
      </c>
      <c r="O14" s="27" t="s">
        <v>177</v>
      </c>
      <c r="P14" s="23"/>
    </row>
    <row r="15" spans="1:18" x14ac:dyDescent="0.3">
      <c r="L15" s="21"/>
      <c r="M15" s="27" t="s">
        <v>100</v>
      </c>
      <c r="N15" s="37" t="s">
        <v>33</v>
      </c>
      <c r="O15" s="27" t="s">
        <v>35</v>
      </c>
      <c r="P15" s="23"/>
    </row>
    <row r="16" spans="1:18" x14ac:dyDescent="0.3">
      <c r="A16" s="13" t="s">
        <v>239</v>
      </c>
      <c r="D16" s="1"/>
      <c r="L16" s="21"/>
      <c r="M16" s="27" t="s">
        <v>101</v>
      </c>
      <c r="N16" s="37" t="s">
        <v>34</v>
      </c>
      <c r="O16" s="27" t="s">
        <v>36</v>
      </c>
      <c r="P16" s="23"/>
    </row>
    <row r="17" spans="1:17" ht="15.6" x14ac:dyDescent="0.3">
      <c r="A17" t="s">
        <v>243</v>
      </c>
      <c r="B17" t="s">
        <v>13</v>
      </c>
      <c r="C17" t="s">
        <v>95</v>
      </c>
      <c r="D17" t="s">
        <v>40</v>
      </c>
      <c r="E17" t="s">
        <v>162</v>
      </c>
      <c r="F17" s="46" t="s">
        <v>314</v>
      </c>
      <c r="G17" t="s">
        <v>240</v>
      </c>
      <c r="H17" t="s">
        <v>15</v>
      </c>
      <c r="I17" t="s">
        <v>223</v>
      </c>
      <c r="J17" t="s">
        <v>241</v>
      </c>
      <c r="L17" s="21"/>
      <c r="M17" s="27" t="s">
        <v>98</v>
      </c>
      <c r="N17" s="37" t="s">
        <v>170</v>
      </c>
      <c r="O17" s="27" t="s">
        <v>38</v>
      </c>
      <c r="P17" s="23"/>
    </row>
    <row r="18" spans="1:17" x14ac:dyDescent="0.3">
      <c r="L18" s="21"/>
      <c r="M18" s="27" t="s">
        <v>99</v>
      </c>
      <c r="N18" s="37" t="s">
        <v>171</v>
      </c>
      <c r="O18" s="27" t="s">
        <v>39</v>
      </c>
      <c r="P18" s="23"/>
    </row>
    <row r="19" spans="1:17" x14ac:dyDescent="0.3">
      <c r="A19" s="13" t="s">
        <v>144</v>
      </c>
      <c r="L19" s="21"/>
      <c r="M19" s="27" t="s">
        <v>114</v>
      </c>
      <c r="N19" s="38" t="s">
        <v>172</v>
      </c>
      <c r="O19" s="27" t="s">
        <v>107</v>
      </c>
      <c r="P19" s="23"/>
      <c r="Q19" s="14"/>
    </row>
    <row r="20" spans="1:17" ht="15.6" x14ac:dyDescent="0.3">
      <c r="A20" t="s">
        <v>270</v>
      </c>
      <c r="B20" t="s">
        <v>17</v>
      </c>
      <c r="C20" t="s">
        <v>41</v>
      </c>
      <c r="D20" s="1" t="s">
        <v>43</v>
      </c>
      <c r="E20" t="s">
        <v>38</v>
      </c>
      <c r="F20" s="46" t="s">
        <v>314</v>
      </c>
      <c r="G20" t="s">
        <v>58</v>
      </c>
      <c r="H20" t="s">
        <v>15</v>
      </c>
      <c r="I20" t="s">
        <v>324</v>
      </c>
      <c r="L20" s="21"/>
      <c r="M20" s="29" t="s">
        <v>96</v>
      </c>
      <c r="N20" s="37" t="s">
        <v>173</v>
      </c>
      <c r="O20" s="27" t="s">
        <v>108</v>
      </c>
      <c r="P20" s="23"/>
    </row>
    <row r="21" spans="1:17" ht="15.6" x14ac:dyDescent="0.3">
      <c r="A21" t="s">
        <v>271</v>
      </c>
      <c r="B21" t="s">
        <v>17</v>
      </c>
      <c r="C21" t="s">
        <v>42</v>
      </c>
      <c r="D21" s="1" t="s">
        <v>43</v>
      </c>
      <c r="E21" t="s">
        <v>39</v>
      </c>
      <c r="F21" s="46" t="s">
        <v>314</v>
      </c>
      <c r="G21" t="s">
        <v>59</v>
      </c>
      <c r="H21" t="s">
        <v>15</v>
      </c>
      <c r="I21" t="s">
        <v>325</v>
      </c>
      <c r="L21" s="21"/>
      <c r="M21" s="29" t="s">
        <v>97</v>
      </c>
      <c r="N21" s="37" t="s">
        <v>174</v>
      </c>
      <c r="O21" s="28" t="s">
        <v>109</v>
      </c>
      <c r="P21" s="23"/>
    </row>
    <row r="22" spans="1:17" ht="15.6" x14ac:dyDescent="0.3">
      <c r="A22" t="s">
        <v>45</v>
      </c>
      <c r="B22" t="s">
        <v>13</v>
      </c>
      <c r="C22" t="s">
        <v>26</v>
      </c>
      <c r="D22" t="s">
        <v>40</v>
      </c>
      <c r="E22" t="s">
        <v>107</v>
      </c>
      <c r="F22" s="46" t="s">
        <v>314</v>
      </c>
      <c r="G22" t="s">
        <v>186</v>
      </c>
      <c r="H22" t="s">
        <v>15</v>
      </c>
      <c r="I22" t="s">
        <v>234</v>
      </c>
      <c r="L22" s="21"/>
      <c r="M22" s="27" t="s">
        <v>162</v>
      </c>
      <c r="N22" s="37" t="s">
        <v>175</v>
      </c>
      <c r="O22" s="28" t="s">
        <v>110</v>
      </c>
      <c r="P22" s="23"/>
    </row>
    <row r="23" spans="1:17" x14ac:dyDescent="0.3">
      <c r="A23" t="s">
        <v>46</v>
      </c>
      <c r="B23" t="s">
        <v>13</v>
      </c>
      <c r="C23" t="s">
        <v>26</v>
      </c>
      <c r="D23" t="s">
        <v>40</v>
      </c>
      <c r="E23" t="s">
        <v>108</v>
      </c>
      <c r="F23" s="42" t="s">
        <v>315</v>
      </c>
      <c r="G23" t="s">
        <v>187</v>
      </c>
      <c r="H23" t="s">
        <v>15</v>
      </c>
      <c r="I23" t="s">
        <v>233</v>
      </c>
      <c r="L23" s="34"/>
      <c r="M23" s="35"/>
      <c r="N23" s="35"/>
      <c r="O23" s="35"/>
      <c r="P23" s="36"/>
    </row>
    <row r="24" spans="1:17" ht="15.6" x14ac:dyDescent="0.3">
      <c r="A24" t="s">
        <v>47</v>
      </c>
      <c r="B24" t="s">
        <v>13</v>
      </c>
      <c r="C24" t="s">
        <v>26</v>
      </c>
      <c r="D24" t="s">
        <v>40</v>
      </c>
      <c r="E24" t="s">
        <v>35</v>
      </c>
      <c r="F24" s="46" t="s">
        <v>314</v>
      </c>
      <c r="G24" t="s">
        <v>62</v>
      </c>
      <c r="H24" t="s">
        <v>15</v>
      </c>
      <c r="I24" t="s">
        <v>232</v>
      </c>
      <c r="L24" s="21"/>
      <c r="M24" s="22"/>
      <c r="N24" s="22"/>
      <c r="O24" s="22"/>
      <c r="P24" s="23"/>
    </row>
    <row r="25" spans="1:17" ht="15.6" x14ac:dyDescent="0.3">
      <c r="A25" t="s">
        <v>48</v>
      </c>
      <c r="B25" t="s">
        <v>13</v>
      </c>
      <c r="C25" t="s">
        <v>26</v>
      </c>
      <c r="D25" t="s">
        <v>40</v>
      </c>
      <c r="E25" t="s">
        <v>36</v>
      </c>
      <c r="F25" s="46" t="s">
        <v>314</v>
      </c>
      <c r="G25" t="s">
        <v>63</v>
      </c>
      <c r="H25" t="s">
        <v>15</v>
      </c>
      <c r="I25" t="s">
        <v>231</v>
      </c>
      <c r="L25" s="21"/>
      <c r="M25" s="27" t="s">
        <v>29</v>
      </c>
      <c r="N25" s="22" t="str">
        <f>A26</f>
        <v>Encoder L</v>
      </c>
      <c r="O25" s="22"/>
      <c r="P25" s="23"/>
    </row>
    <row r="26" spans="1:17" x14ac:dyDescent="0.3">
      <c r="A26" t="s">
        <v>18</v>
      </c>
      <c r="B26" t="s">
        <v>20</v>
      </c>
      <c r="C26" t="s">
        <v>31</v>
      </c>
      <c r="D26" s="1" t="s">
        <v>44</v>
      </c>
      <c r="E26" t="s">
        <v>29</v>
      </c>
      <c r="F26" s="42" t="s">
        <v>315</v>
      </c>
      <c r="G26" t="s">
        <v>64</v>
      </c>
      <c r="H26" t="s">
        <v>16</v>
      </c>
      <c r="I26" t="s">
        <v>326</v>
      </c>
      <c r="J26" t="s">
        <v>49</v>
      </c>
      <c r="L26" s="21"/>
      <c r="M26" s="27" t="s">
        <v>30</v>
      </c>
      <c r="N26" s="22" t="str">
        <f>A27</f>
        <v>Encoder R</v>
      </c>
      <c r="O26" s="22"/>
      <c r="P26" s="23"/>
    </row>
    <row r="27" spans="1:17" x14ac:dyDescent="0.3">
      <c r="A27" t="s">
        <v>19</v>
      </c>
      <c r="B27" t="s">
        <v>20</v>
      </c>
      <c r="C27" t="s">
        <v>32</v>
      </c>
      <c r="D27" s="1" t="s">
        <v>44</v>
      </c>
      <c r="E27" t="s">
        <v>30</v>
      </c>
      <c r="F27" s="42" t="s">
        <v>315</v>
      </c>
      <c r="G27" t="s">
        <v>65</v>
      </c>
      <c r="H27" t="s">
        <v>16</v>
      </c>
      <c r="I27" t="s">
        <v>327</v>
      </c>
      <c r="J27" t="s">
        <v>49</v>
      </c>
      <c r="L27" s="21"/>
      <c r="M27" s="28" t="s">
        <v>74</v>
      </c>
      <c r="N27" s="22" t="str">
        <f>A56</f>
        <v>Serial Tx - Virtual</v>
      </c>
      <c r="O27" s="22"/>
      <c r="P27" s="23"/>
    </row>
    <row r="28" spans="1:17" x14ac:dyDescent="0.3">
      <c r="D28" s="1"/>
      <c r="L28" s="21"/>
      <c r="M28" s="28" t="s">
        <v>75</v>
      </c>
      <c r="N28" s="22" t="str">
        <f>A57</f>
        <v>Serial Rx - Virtual</v>
      </c>
      <c r="O28" s="22"/>
      <c r="P28" s="23"/>
    </row>
    <row r="29" spans="1:17" x14ac:dyDescent="0.3">
      <c r="A29" s="13" t="s">
        <v>154</v>
      </c>
      <c r="D29" s="1"/>
      <c r="J29" t="s">
        <v>161</v>
      </c>
      <c r="L29" s="21"/>
      <c r="M29" s="27" t="s">
        <v>104</v>
      </c>
      <c r="N29" s="22" t="str">
        <f>A52</f>
        <v>DAC output - DTMF - low group</v>
      </c>
      <c r="O29" s="22"/>
      <c r="P29" s="23"/>
    </row>
    <row r="30" spans="1:17" x14ac:dyDescent="0.3">
      <c r="A30" s="10" t="s">
        <v>155</v>
      </c>
      <c r="B30" t="s">
        <v>13</v>
      </c>
      <c r="C30" t="s">
        <v>95</v>
      </c>
      <c r="D30" t="s">
        <v>40</v>
      </c>
      <c r="E30" t="s">
        <v>121</v>
      </c>
      <c r="F30" s="42" t="s">
        <v>315</v>
      </c>
      <c r="G30" t="s">
        <v>125</v>
      </c>
      <c r="H30" t="s">
        <v>15</v>
      </c>
      <c r="I30" t="s">
        <v>275</v>
      </c>
      <c r="J30" s="15"/>
      <c r="K30" s="15"/>
      <c r="L30" s="21"/>
      <c r="M30" s="27" t="s">
        <v>103</v>
      </c>
      <c r="N30" s="22" t="str">
        <f>A53</f>
        <v>DAC output - DTMF - high group</v>
      </c>
      <c r="O30" s="22"/>
      <c r="P30" s="23"/>
    </row>
    <row r="31" spans="1:17" x14ac:dyDescent="0.3">
      <c r="A31" s="10" t="s">
        <v>156</v>
      </c>
      <c r="B31" t="s">
        <v>13</v>
      </c>
      <c r="C31" t="s">
        <v>95</v>
      </c>
      <c r="D31" t="s">
        <v>40</v>
      </c>
      <c r="E31" t="s">
        <v>122</v>
      </c>
      <c r="F31" s="42" t="s">
        <v>315</v>
      </c>
      <c r="G31" t="s">
        <v>126</v>
      </c>
      <c r="H31" t="s">
        <v>15</v>
      </c>
      <c r="I31" t="s">
        <v>274</v>
      </c>
      <c r="L31" s="21" t="s">
        <v>258</v>
      </c>
      <c r="M31" s="27" t="s">
        <v>121</v>
      </c>
      <c r="N31" s="22" t="str">
        <f t="shared" ref="N31:N36" si="0">A30</f>
        <v>LCD - RS</v>
      </c>
      <c r="O31" s="22"/>
      <c r="P31" s="23"/>
    </row>
    <row r="32" spans="1:17" ht="15.6" x14ac:dyDescent="0.3">
      <c r="A32" s="10" t="s">
        <v>157</v>
      </c>
      <c r="B32" t="s">
        <v>13</v>
      </c>
      <c r="C32" t="s">
        <v>95</v>
      </c>
      <c r="D32" t="s">
        <v>40</v>
      </c>
      <c r="E32" t="s">
        <v>100</v>
      </c>
      <c r="F32" s="46" t="s">
        <v>314</v>
      </c>
      <c r="G32" t="s">
        <v>127</v>
      </c>
      <c r="H32" t="s">
        <v>16</v>
      </c>
      <c r="I32" t="s">
        <v>273</v>
      </c>
      <c r="L32" s="21" t="s">
        <v>258</v>
      </c>
      <c r="M32" s="27" t="s">
        <v>122</v>
      </c>
      <c r="N32" s="22" t="str">
        <f t="shared" si="0"/>
        <v>LCD - E</v>
      </c>
      <c r="O32" s="22"/>
      <c r="P32" s="23"/>
    </row>
    <row r="33" spans="1:16" ht="15.6" x14ac:dyDescent="0.3">
      <c r="A33" s="10" t="s">
        <v>158</v>
      </c>
      <c r="B33" t="s">
        <v>13</v>
      </c>
      <c r="C33" t="s">
        <v>95</v>
      </c>
      <c r="D33" t="s">
        <v>40</v>
      </c>
      <c r="E33" t="s">
        <v>101</v>
      </c>
      <c r="F33" s="46" t="s">
        <v>314</v>
      </c>
      <c r="G33" t="s">
        <v>128</v>
      </c>
      <c r="H33" t="s">
        <v>16</v>
      </c>
      <c r="I33" t="s">
        <v>272</v>
      </c>
      <c r="L33" s="21" t="s">
        <v>258</v>
      </c>
      <c r="M33" s="27" t="s">
        <v>100</v>
      </c>
      <c r="N33" s="22" t="str">
        <f t="shared" si="0"/>
        <v>LCD - D4</v>
      </c>
      <c r="O33" s="22"/>
      <c r="P33" s="23"/>
    </row>
    <row r="34" spans="1:16" ht="15.6" x14ac:dyDescent="0.3">
      <c r="A34" s="10" t="s">
        <v>159</v>
      </c>
      <c r="B34" t="s">
        <v>13</v>
      </c>
      <c r="C34" t="s">
        <v>95</v>
      </c>
      <c r="D34" t="s">
        <v>40</v>
      </c>
      <c r="E34" t="s">
        <v>98</v>
      </c>
      <c r="F34" s="46" t="s">
        <v>314</v>
      </c>
      <c r="G34" t="s">
        <v>129</v>
      </c>
      <c r="H34" t="s">
        <v>16</v>
      </c>
      <c r="I34" t="s">
        <v>251</v>
      </c>
      <c r="L34" s="21" t="s">
        <v>258</v>
      </c>
      <c r="M34" s="27" t="s">
        <v>101</v>
      </c>
      <c r="N34" s="22" t="str">
        <f t="shared" si="0"/>
        <v>LCD - D5</v>
      </c>
      <c r="O34" s="22"/>
      <c r="P34" s="23"/>
    </row>
    <row r="35" spans="1:16" ht="15.6" x14ac:dyDescent="0.3">
      <c r="A35" s="10" t="s">
        <v>160</v>
      </c>
      <c r="B35" t="s">
        <v>13</v>
      </c>
      <c r="C35" t="s">
        <v>95</v>
      </c>
      <c r="D35" t="s">
        <v>40</v>
      </c>
      <c r="E35" t="s">
        <v>99</v>
      </c>
      <c r="F35" s="46" t="s">
        <v>314</v>
      </c>
      <c r="G35" t="s">
        <v>130</v>
      </c>
      <c r="H35" t="s">
        <v>16</v>
      </c>
      <c r="I35" t="s">
        <v>250</v>
      </c>
      <c r="L35" s="21" t="s">
        <v>258</v>
      </c>
      <c r="M35" s="27" t="s">
        <v>98</v>
      </c>
      <c r="N35" s="22" t="str">
        <f t="shared" si="0"/>
        <v>LCD - D6</v>
      </c>
      <c r="O35" s="22"/>
      <c r="P35" s="23"/>
    </row>
    <row r="36" spans="1:16" x14ac:dyDescent="0.3">
      <c r="A36" s="10"/>
      <c r="D36" s="1"/>
      <c r="L36" s="21" t="s">
        <v>258</v>
      </c>
      <c r="M36" s="27" t="s">
        <v>99</v>
      </c>
      <c r="N36" s="22" t="str">
        <f t="shared" si="0"/>
        <v>LCD - D7</v>
      </c>
      <c r="O36" s="22"/>
      <c r="P36" s="23"/>
    </row>
    <row r="37" spans="1:16" x14ac:dyDescent="0.3">
      <c r="A37" s="13" t="s">
        <v>145</v>
      </c>
      <c r="L37" s="21"/>
      <c r="M37" s="27" t="s">
        <v>114</v>
      </c>
      <c r="N37" s="22" t="str">
        <f>A38</f>
        <v>Ultrasonic Trigger</v>
      </c>
      <c r="O37" s="22"/>
      <c r="P37" s="23"/>
    </row>
    <row r="38" spans="1:16" ht="15.6" x14ac:dyDescent="0.3">
      <c r="A38" t="s">
        <v>111</v>
      </c>
      <c r="B38" t="s">
        <v>113</v>
      </c>
      <c r="C38" t="s">
        <v>116</v>
      </c>
      <c r="D38" s="1" t="s">
        <v>44</v>
      </c>
      <c r="E38" t="s">
        <v>114</v>
      </c>
      <c r="F38" s="46" t="s">
        <v>314</v>
      </c>
      <c r="G38" t="s">
        <v>115</v>
      </c>
      <c r="H38" t="s">
        <v>15</v>
      </c>
      <c r="I38" t="s">
        <v>249</v>
      </c>
      <c r="L38" s="21"/>
      <c r="M38" s="29" t="s">
        <v>96</v>
      </c>
      <c r="N38" s="22"/>
      <c r="O38" s="22"/>
      <c r="P38" s="23"/>
    </row>
    <row r="39" spans="1:16" ht="15.6" x14ac:dyDescent="0.3">
      <c r="A39" t="s">
        <v>112</v>
      </c>
      <c r="B39" t="s">
        <v>117</v>
      </c>
      <c r="C39" t="s">
        <v>178</v>
      </c>
      <c r="D39" s="1" t="s">
        <v>118</v>
      </c>
      <c r="E39" t="s">
        <v>177</v>
      </c>
      <c r="F39" s="46" t="s">
        <v>314</v>
      </c>
      <c r="G39" t="s">
        <v>179</v>
      </c>
      <c r="H39" t="s">
        <v>16</v>
      </c>
      <c r="I39" t="s">
        <v>248</v>
      </c>
      <c r="L39" s="21"/>
      <c r="M39" s="29" t="s">
        <v>97</v>
      </c>
      <c r="N39" s="22"/>
      <c r="O39" s="22"/>
      <c r="P39" s="23"/>
    </row>
    <row r="40" spans="1:16" x14ac:dyDescent="0.3">
      <c r="A40" s="10"/>
      <c r="L40" s="21" t="s">
        <v>258</v>
      </c>
      <c r="M40" s="27" t="s">
        <v>162</v>
      </c>
      <c r="N40" s="22" t="str">
        <f>A17</f>
        <v>Generic Indicator LED</v>
      </c>
      <c r="O40" s="22"/>
      <c r="P40" s="23"/>
    </row>
    <row r="41" spans="1:16" x14ac:dyDescent="0.3">
      <c r="A41" s="13" t="s">
        <v>146</v>
      </c>
      <c r="D41" s="1"/>
      <c r="L41" s="21"/>
      <c r="M41" s="22"/>
      <c r="N41" s="22"/>
      <c r="O41" s="22"/>
      <c r="P41" s="23"/>
    </row>
    <row r="42" spans="1:16" x14ac:dyDescent="0.3">
      <c r="A42" t="s">
        <v>85</v>
      </c>
      <c r="B42" t="s">
        <v>93</v>
      </c>
      <c r="C42" t="s">
        <v>37</v>
      </c>
      <c r="D42" t="s">
        <v>40</v>
      </c>
      <c r="E42" t="s">
        <v>25</v>
      </c>
      <c r="F42" s="42" t="s">
        <v>315</v>
      </c>
      <c r="G42" t="s">
        <v>55</v>
      </c>
      <c r="H42" t="s">
        <v>15</v>
      </c>
      <c r="I42" t="s">
        <v>283</v>
      </c>
      <c r="J42" t="s">
        <v>196</v>
      </c>
      <c r="L42" s="21" t="s">
        <v>258</v>
      </c>
      <c r="M42" s="27" t="s">
        <v>25</v>
      </c>
      <c r="N42" s="22" t="str">
        <f t="shared" ref="N42:N49" si="1">A42</f>
        <v>Keypad R1</v>
      </c>
      <c r="O42" s="22"/>
      <c r="P42" s="23"/>
    </row>
    <row r="43" spans="1:16" x14ac:dyDescent="0.3">
      <c r="A43" t="s">
        <v>86</v>
      </c>
      <c r="B43" t="s">
        <v>93</v>
      </c>
      <c r="C43" t="s">
        <v>37</v>
      </c>
      <c r="D43" t="s">
        <v>40</v>
      </c>
      <c r="E43" t="s">
        <v>163</v>
      </c>
      <c r="F43" s="42" t="s">
        <v>315</v>
      </c>
      <c r="G43" t="s">
        <v>200</v>
      </c>
      <c r="H43" t="s">
        <v>15</v>
      </c>
      <c r="I43" t="s">
        <v>282</v>
      </c>
      <c r="J43" t="s">
        <v>196</v>
      </c>
      <c r="L43" s="21" t="s">
        <v>258</v>
      </c>
      <c r="M43" s="27" t="s">
        <v>163</v>
      </c>
      <c r="N43" s="22" t="str">
        <f t="shared" si="1"/>
        <v>Keypad R2</v>
      </c>
      <c r="O43" s="22"/>
      <c r="P43" s="23"/>
    </row>
    <row r="44" spans="1:16" x14ac:dyDescent="0.3">
      <c r="A44" t="s">
        <v>87</v>
      </c>
      <c r="B44" t="s">
        <v>93</v>
      </c>
      <c r="C44" t="s">
        <v>37</v>
      </c>
      <c r="D44" t="s">
        <v>40</v>
      </c>
      <c r="E44" t="s">
        <v>164</v>
      </c>
      <c r="F44" s="42" t="s">
        <v>315</v>
      </c>
      <c r="G44" t="s">
        <v>195</v>
      </c>
      <c r="H44" t="s">
        <v>15</v>
      </c>
      <c r="I44" t="s">
        <v>281</v>
      </c>
      <c r="J44" t="s">
        <v>196</v>
      </c>
      <c r="L44" s="21" t="s">
        <v>258</v>
      </c>
      <c r="M44" s="27" t="s">
        <v>164</v>
      </c>
      <c r="N44" s="22" t="str">
        <f t="shared" si="1"/>
        <v>Keypad R3</v>
      </c>
      <c r="O44" s="22"/>
      <c r="P44" s="23"/>
    </row>
    <row r="45" spans="1:16" ht="15.6" x14ac:dyDescent="0.3">
      <c r="A45" t="s">
        <v>88</v>
      </c>
      <c r="B45" t="s">
        <v>93</v>
      </c>
      <c r="C45" t="s">
        <v>37</v>
      </c>
      <c r="D45" t="s">
        <v>40</v>
      </c>
      <c r="E45" t="s">
        <v>165</v>
      </c>
      <c r="F45" s="46" t="s">
        <v>314</v>
      </c>
      <c r="G45" t="s">
        <v>263</v>
      </c>
      <c r="H45" t="s">
        <v>15</v>
      </c>
      <c r="I45" t="s">
        <v>280</v>
      </c>
      <c r="J45" t="s">
        <v>196</v>
      </c>
      <c r="L45" s="21" t="s">
        <v>258</v>
      </c>
      <c r="M45" s="27" t="s">
        <v>165</v>
      </c>
      <c r="N45" s="22" t="str">
        <f t="shared" si="1"/>
        <v>Keypad R4</v>
      </c>
      <c r="O45" s="22"/>
      <c r="P45" s="23"/>
    </row>
    <row r="46" spans="1:16" ht="15.6" x14ac:dyDescent="0.3">
      <c r="A46" t="s">
        <v>89</v>
      </c>
      <c r="B46" t="s">
        <v>94</v>
      </c>
      <c r="C46" t="s">
        <v>37</v>
      </c>
      <c r="D46" t="s">
        <v>40</v>
      </c>
      <c r="E46" t="s">
        <v>166</v>
      </c>
      <c r="F46" s="46" t="s">
        <v>314</v>
      </c>
      <c r="G46" t="s">
        <v>201</v>
      </c>
      <c r="H46" t="s">
        <v>16</v>
      </c>
      <c r="I46" t="s">
        <v>279</v>
      </c>
      <c r="J46" t="s">
        <v>197</v>
      </c>
      <c r="L46" s="21" t="s">
        <v>258</v>
      </c>
      <c r="M46" s="27" t="s">
        <v>166</v>
      </c>
      <c r="N46" s="22" t="str">
        <f t="shared" si="1"/>
        <v>Keypad C1</v>
      </c>
      <c r="O46" s="22"/>
      <c r="P46" s="23"/>
    </row>
    <row r="47" spans="1:16" ht="15.6" x14ac:dyDescent="0.3">
      <c r="A47" t="s">
        <v>90</v>
      </c>
      <c r="B47" t="s">
        <v>94</v>
      </c>
      <c r="C47" t="s">
        <v>37</v>
      </c>
      <c r="D47" t="s">
        <v>40</v>
      </c>
      <c r="E47" t="s">
        <v>167</v>
      </c>
      <c r="F47" s="46" t="s">
        <v>314</v>
      </c>
      <c r="G47" t="s">
        <v>202</v>
      </c>
      <c r="H47" t="s">
        <v>16</v>
      </c>
      <c r="I47" t="s">
        <v>278</v>
      </c>
      <c r="J47" t="s">
        <v>197</v>
      </c>
      <c r="L47" s="21" t="s">
        <v>258</v>
      </c>
      <c r="M47" s="27" t="s">
        <v>167</v>
      </c>
      <c r="N47" s="22" t="str">
        <f t="shared" si="1"/>
        <v>Keypad C2</v>
      </c>
      <c r="O47" s="22"/>
      <c r="P47" s="23"/>
    </row>
    <row r="48" spans="1:16" ht="15.6" x14ac:dyDescent="0.3">
      <c r="A48" t="s">
        <v>91</v>
      </c>
      <c r="B48" t="s">
        <v>94</v>
      </c>
      <c r="C48" t="s">
        <v>37</v>
      </c>
      <c r="D48" t="s">
        <v>40</v>
      </c>
      <c r="E48" t="s">
        <v>168</v>
      </c>
      <c r="F48" s="46" t="s">
        <v>314</v>
      </c>
      <c r="G48" t="s">
        <v>203</v>
      </c>
      <c r="H48" t="s">
        <v>16</v>
      </c>
      <c r="I48" t="s">
        <v>277</v>
      </c>
      <c r="J48" t="s">
        <v>197</v>
      </c>
      <c r="L48" s="21" t="s">
        <v>258</v>
      </c>
      <c r="M48" s="27" t="s">
        <v>168</v>
      </c>
      <c r="N48" s="22" t="str">
        <f t="shared" si="1"/>
        <v>Keypad C3</v>
      </c>
      <c r="O48" s="22"/>
      <c r="P48" s="23"/>
    </row>
    <row r="49" spans="1:17" ht="15.6" x14ac:dyDescent="0.3">
      <c r="A49" t="s">
        <v>92</v>
      </c>
      <c r="B49" t="s">
        <v>94</v>
      </c>
      <c r="C49" t="s">
        <v>37</v>
      </c>
      <c r="D49" t="s">
        <v>40</v>
      </c>
      <c r="E49" t="s">
        <v>169</v>
      </c>
      <c r="F49" s="46" t="s">
        <v>314</v>
      </c>
      <c r="G49" t="s">
        <v>204</v>
      </c>
      <c r="H49" t="s">
        <v>16</v>
      </c>
      <c r="I49" t="s">
        <v>276</v>
      </c>
      <c r="J49" t="s">
        <v>197</v>
      </c>
      <c r="L49" s="21" t="s">
        <v>258</v>
      </c>
      <c r="M49" s="27" t="s">
        <v>169</v>
      </c>
      <c r="N49" s="22" t="str">
        <f t="shared" si="1"/>
        <v>Keypad C4</v>
      </c>
      <c r="O49" s="22"/>
      <c r="P49" s="23"/>
    </row>
    <row r="50" spans="1:17" x14ac:dyDescent="0.3">
      <c r="D50" s="1"/>
      <c r="L50" s="21"/>
      <c r="M50" s="27" t="s">
        <v>33</v>
      </c>
      <c r="N50" s="22" t="str">
        <f>A64</f>
        <v>CAN Rx</v>
      </c>
      <c r="O50" s="22"/>
      <c r="P50" s="23"/>
    </row>
    <row r="51" spans="1:17" x14ac:dyDescent="0.3">
      <c r="A51" s="13" t="s">
        <v>147</v>
      </c>
      <c r="D51" s="1"/>
      <c r="L51" s="21"/>
      <c r="M51" s="27" t="s">
        <v>34</v>
      </c>
      <c r="N51" s="22" t="str">
        <f>A65</f>
        <v>CAN TX</v>
      </c>
      <c r="O51" s="22"/>
      <c r="P51" s="23"/>
    </row>
    <row r="52" spans="1:17" x14ac:dyDescent="0.3">
      <c r="A52" t="s">
        <v>256</v>
      </c>
      <c r="B52" t="s">
        <v>266</v>
      </c>
      <c r="C52" t="s">
        <v>105</v>
      </c>
      <c r="D52" t="s">
        <v>40</v>
      </c>
      <c r="E52" t="s">
        <v>104</v>
      </c>
      <c r="F52" s="42" t="s">
        <v>315</v>
      </c>
      <c r="G52" t="s">
        <v>123</v>
      </c>
      <c r="H52" t="s">
        <v>15</v>
      </c>
      <c r="I52" t="s">
        <v>230</v>
      </c>
      <c r="J52" t="s">
        <v>199</v>
      </c>
      <c r="L52" s="21"/>
      <c r="M52" s="27" t="s">
        <v>170</v>
      </c>
      <c r="N52" s="22" t="str">
        <f>A58</f>
        <v>Serial Tx - HW</v>
      </c>
      <c r="O52" s="22"/>
      <c r="P52" s="23"/>
    </row>
    <row r="53" spans="1:17" x14ac:dyDescent="0.3">
      <c r="A53" t="s">
        <v>257</v>
      </c>
      <c r="B53" t="s">
        <v>266</v>
      </c>
      <c r="C53" t="s">
        <v>106</v>
      </c>
      <c r="D53" t="s">
        <v>40</v>
      </c>
      <c r="E53" t="s">
        <v>103</v>
      </c>
      <c r="F53" s="42" t="s">
        <v>315</v>
      </c>
      <c r="G53" t="s">
        <v>124</v>
      </c>
      <c r="H53" t="s">
        <v>15</v>
      </c>
      <c r="I53" t="s">
        <v>230</v>
      </c>
      <c r="J53" t="s">
        <v>199</v>
      </c>
      <c r="L53" s="21"/>
      <c r="M53" s="27" t="s">
        <v>171</v>
      </c>
      <c r="N53" s="22" t="str">
        <f t="shared" ref="N53" si="2">A59</f>
        <v>Serial Rx - HW</v>
      </c>
      <c r="O53" s="22"/>
      <c r="P53" s="23"/>
    </row>
    <row r="54" spans="1:17" x14ac:dyDescent="0.3">
      <c r="D54" s="1"/>
      <c r="J54" t="s">
        <v>321</v>
      </c>
      <c r="L54" s="21" t="s">
        <v>258</v>
      </c>
      <c r="M54" s="22" t="s">
        <v>172</v>
      </c>
      <c r="N54" s="22"/>
      <c r="O54" s="22"/>
      <c r="P54" s="23"/>
    </row>
    <row r="55" spans="1:17" x14ac:dyDescent="0.3">
      <c r="A55" s="13" t="s">
        <v>148</v>
      </c>
      <c r="D55" s="1"/>
      <c r="L55" s="21"/>
      <c r="M55" s="27" t="s">
        <v>173</v>
      </c>
      <c r="N55" s="22" t="str">
        <f>A60</f>
        <v>Serial RTS - HW (optional)</v>
      </c>
      <c r="O55" s="22"/>
      <c r="P55" s="23"/>
    </row>
    <row r="56" spans="1:17" x14ac:dyDescent="0.3">
      <c r="A56" t="s">
        <v>133</v>
      </c>
      <c r="B56" t="s">
        <v>79</v>
      </c>
      <c r="C56" t="s">
        <v>76</v>
      </c>
      <c r="D56" s="1" t="s">
        <v>78</v>
      </c>
      <c r="E56" s="19" t="s">
        <v>74</v>
      </c>
      <c r="F56" s="43" t="s">
        <v>315</v>
      </c>
      <c r="G56" s="12" t="s">
        <v>73</v>
      </c>
      <c r="H56" t="s">
        <v>15</v>
      </c>
      <c r="I56" t="s">
        <v>230</v>
      </c>
      <c r="J56" t="s">
        <v>320</v>
      </c>
      <c r="L56" s="21"/>
      <c r="M56" s="27" t="s">
        <v>174</v>
      </c>
      <c r="N56" s="22" t="str">
        <f>A61</f>
        <v>Serial CTS - HW (optional)</v>
      </c>
      <c r="O56" s="22"/>
      <c r="P56" s="23"/>
      <c r="Q56" s="13"/>
    </row>
    <row r="57" spans="1:17" x14ac:dyDescent="0.3">
      <c r="A57" t="s">
        <v>134</v>
      </c>
      <c r="B57" t="s">
        <v>80</v>
      </c>
      <c r="C57" t="s">
        <v>77</v>
      </c>
      <c r="D57" s="1" t="s">
        <v>78</v>
      </c>
      <c r="E57" s="19" t="s">
        <v>75</v>
      </c>
      <c r="F57" s="43" t="s">
        <v>315</v>
      </c>
      <c r="G57" s="12" t="s">
        <v>72</v>
      </c>
      <c r="H57" t="s">
        <v>16</v>
      </c>
      <c r="I57" t="s">
        <v>230</v>
      </c>
      <c r="J57" t="s">
        <v>320</v>
      </c>
      <c r="L57" s="30"/>
      <c r="M57" s="27" t="s">
        <v>175</v>
      </c>
      <c r="N57" s="22" t="str">
        <f>A12</f>
        <v>Servo</v>
      </c>
      <c r="O57" s="22"/>
      <c r="P57" s="23"/>
    </row>
    <row r="58" spans="1:17" x14ac:dyDescent="0.3">
      <c r="A58" t="s">
        <v>131</v>
      </c>
      <c r="B58" s="9" t="s">
        <v>235</v>
      </c>
      <c r="C58" t="s">
        <v>181</v>
      </c>
      <c r="D58" s="1" t="s">
        <v>78</v>
      </c>
      <c r="E58" t="s">
        <v>170</v>
      </c>
      <c r="F58" s="42" t="s">
        <v>315</v>
      </c>
      <c r="G58" t="s">
        <v>217</v>
      </c>
      <c r="H58" t="s">
        <v>15</v>
      </c>
      <c r="I58" t="s">
        <v>328</v>
      </c>
      <c r="J58" t="s">
        <v>245</v>
      </c>
      <c r="L58" s="21"/>
      <c r="M58" s="22"/>
      <c r="N58" s="22"/>
      <c r="O58" s="22"/>
      <c r="P58" s="23"/>
    </row>
    <row r="59" spans="1:17" x14ac:dyDescent="0.3">
      <c r="A59" t="s">
        <v>132</v>
      </c>
      <c r="B59" s="9" t="s">
        <v>236</v>
      </c>
      <c r="C59" t="s">
        <v>182</v>
      </c>
      <c r="D59" s="1" t="s">
        <v>78</v>
      </c>
      <c r="E59" t="s">
        <v>171</v>
      </c>
      <c r="F59" s="42" t="s">
        <v>315</v>
      </c>
      <c r="G59" t="s">
        <v>218</v>
      </c>
      <c r="H59" t="s">
        <v>16</v>
      </c>
      <c r="I59" t="s">
        <v>329</v>
      </c>
      <c r="J59" t="s">
        <v>245</v>
      </c>
      <c r="L59" s="21" t="s">
        <v>258</v>
      </c>
      <c r="M59" s="27" t="s">
        <v>21</v>
      </c>
      <c r="N59" s="22" t="str">
        <f>A8</f>
        <v>Stepper A</v>
      </c>
      <c r="O59" s="22"/>
      <c r="P59" s="23"/>
    </row>
    <row r="60" spans="1:17" x14ac:dyDescent="0.3">
      <c r="A60" t="s">
        <v>253</v>
      </c>
      <c r="B60" s="9" t="s">
        <v>237</v>
      </c>
      <c r="C60" t="s">
        <v>183</v>
      </c>
      <c r="D60" s="1" t="s">
        <v>78</v>
      </c>
      <c r="E60" t="s">
        <v>173</v>
      </c>
      <c r="F60" s="42" t="s">
        <v>315</v>
      </c>
      <c r="G60" t="s">
        <v>219</v>
      </c>
      <c r="H60" t="s">
        <v>15</v>
      </c>
      <c r="I60" t="s">
        <v>287</v>
      </c>
      <c r="J60" t="s">
        <v>255</v>
      </c>
      <c r="L60" s="21" t="s">
        <v>258</v>
      </c>
      <c r="M60" s="27" t="s">
        <v>22</v>
      </c>
      <c r="N60" s="22" t="str">
        <f t="shared" ref="N60:N62" si="3">A9</f>
        <v>Stepper /A</v>
      </c>
      <c r="O60" s="22"/>
      <c r="P60" s="23"/>
    </row>
    <row r="61" spans="1:17" x14ac:dyDescent="0.3">
      <c r="A61" t="s">
        <v>254</v>
      </c>
      <c r="B61" s="9" t="s">
        <v>238</v>
      </c>
      <c r="C61" t="s">
        <v>184</v>
      </c>
      <c r="D61" s="1" t="s">
        <v>78</v>
      </c>
      <c r="E61" t="s">
        <v>174</v>
      </c>
      <c r="F61" s="42" t="s">
        <v>315</v>
      </c>
      <c r="G61" t="s">
        <v>220</v>
      </c>
      <c r="H61" t="s">
        <v>16</v>
      </c>
      <c r="I61" t="s">
        <v>286</v>
      </c>
      <c r="J61" t="s">
        <v>255</v>
      </c>
      <c r="L61" s="21" t="s">
        <v>258</v>
      </c>
      <c r="M61" s="27" t="s">
        <v>23</v>
      </c>
      <c r="N61" s="22" t="str">
        <f t="shared" si="3"/>
        <v>Stepper B</v>
      </c>
      <c r="O61" s="22"/>
      <c r="P61" s="23"/>
    </row>
    <row r="62" spans="1:17" x14ac:dyDescent="0.3">
      <c r="B62" s="9"/>
      <c r="D62" s="1"/>
      <c r="L62" s="21" t="s">
        <v>258</v>
      </c>
      <c r="M62" s="27" t="s">
        <v>24</v>
      </c>
      <c r="N62" s="22" t="str">
        <f t="shared" si="3"/>
        <v>Stepper /B</v>
      </c>
      <c r="O62" s="22"/>
      <c r="P62" s="23"/>
    </row>
    <row r="63" spans="1:17" x14ac:dyDescent="0.3">
      <c r="A63" s="13" t="s">
        <v>206</v>
      </c>
      <c r="D63" s="1"/>
      <c r="L63" s="21" t="s">
        <v>258</v>
      </c>
      <c r="M63" s="22" t="s">
        <v>176</v>
      </c>
      <c r="N63" s="22"/>
      <c r="O63" s="22"/>
      <c r="P63" s="23"/>
    </row>
    <row r="64" spans="1:17" ht="15.6" x14ac:dyDescent="0.3">
      <c r="A64" t="s">
        <v>207</v>
      </c>
      <c r="B64" t="s">
        <v>207</v>
      </c>
      <c r="C64" t="s">
        <v>210</v>
      </c>
      <c r="D64" s="1" t="s">
        <v>209</v>
      </c>
      <c r="E64" t="s">
        <v>33</v>
      </c>
      <c r="F64" s="46" t="s">
        <v>314</v>
      </c>
      <c r="G64" t="s">
        <v>60</v>
      </c>
      <c r="H64" t="s">
        <v>16</v>
      </c>
      <c r="I64" t="s">
        <v>285</v>
      </c>
      <c r="J64" t="s">
        <v>212</v>
      </c>
      <c r="L64" s="21" t="s">
        <v>258</v>
      </c>
      <c r="M64" s="27" t="s">
        <v>27</v>
      </c>
      <c r="N64" s="22" t="str">
        <f>A13</f>
        <v>Limit L</v>
      </c>
      <c r="O64" s="22"/>
      <c r="P64" s="23"/>
    </row>
    <row r="65" spans="1:16" ht="15.6" x14ac:dyDescent="0.3">
      <c r="A65" t="s">
        <v>208</v>
      </c>
      <c r="B65" t="s">
        <v>208</v>
      </c>
      <c r="C65" t="s">
        <v>211</v>
      </c>
      <c r="D65" s="1" t="s">
        <v>209</v>
      </c>
      <c r="E65" t="s">
        <v>34</v>
      </c>
      <c r="F65" s="46" t="s">
        <v>314</v>
      </c>
      <c r="G65" t="s">
        <v>61</v>
      </c>
      <c r="H65" t="s">
        <v>15</v>
      </c>
      <c r="I65" t="s">
        <v>284</v>
      </c>
      <c r="J65" t="s">
        <v>213</v>
      </c>
      <c r="L65" s="21" t="s">
        <v>258</v>
      </c>
      <c r="M65" s="27" t="s">
        <v>28</v>
      </c>
      <c r="N65" s="22" t="str">
        <f>A14</f>
        <v>Limit R</v>
      </c>
      <c r="O65" s="22"/>
      <c r="P65" s="23"/>
    </row>
    <row r="66" spans="1:16" x14ac:dyDescent="0.3">
      <c r="D66" s="1"/>
      <c r="L66" s="21"/>
      <c r="M66" s="27" t="s">
        <v>177</v>
      </c>
      <c r="N66" s="22" t="str">
        <f>A39</f>
        <v>Ultrasonic Echo</v>
      </c>
      <c r="O66" s="22"/>
      <c r="P66" s="23"/>
    </row>
    <row r="67" spans="1:16" x14ac:dyDescent="0.3">
      <c r="D67" s="1"/>
      <c r="L67" s="21" t="s">
        <v>258</v>
      </c>
      <c r="M67" s="27" t="s">
        <v>35</v>
      </c>
      <c r="N67" s="22" t="str">
        <f>A24</f>
        <v>Motor Dir A R</v>
      </c>
      <c r="O67" s="22"/>
      <c r="P67" s="23"/>
    </row>
    <row r="68" spans="1:16" x14ac:dyDescent="0.3">
      <c r="A68" s="13" t="s">
        <v>153</v>
      </c>
      <c r="L68" s="21" t="s">
        <v>258</v>
      </c>
      <c r="M68" s="27" t="s">
        <v>36</v>
      </c>
      <c r="N68" s="22" t="str">
        <f>A25</f>
        <v>Motor Dir B R</v>
      </c>
      <c r="O68" s="22"/>
      <c r="P68" s="23"/>
    </row>
    <row r="69" spans="1:16" x14ac:dyDescent="0.3">
      <c r="A69" t="s">
        <v>135</v>
      </c>
      <c r="B69" t="s">
        <v>152</v>
      </c>
      <c r="C69" t="s">
        <v>150</v>
      </c>
      <c r="D69" s="1" t="s">
        <v>149</v>
      </c>
      <c r="E69" s="18" t="s">
        <v>96</v>
      </c>
      <c r="F69" s="44"/>
      <c r="G69" t="s">
        <v>136</v>
      </c>
      <c r="J69" s="11" t="s">
        <v>319</v>
      </c>
      <c r="K69" s="11"/>
      <c r="L69" s="21"/>
      <c r="M69" s="27" t="s">
        <v>38</v>
      </c>
      <c r="N69" s="22" t="str">
        <f>A20</f>
        <v>Motor PWM L</v>
      </c>
      <c r="O69" s="22"/>
      <c r="P69" s="23"/>
    </row>
    <row r="70" spans="1:16" x14ac:dyDescent="0.3">
      <c r="A70" t="s">
        <v>135</v>
      </c>
      <c r="B70" t="s">
        <v>152</v>
      </c>
      <c r="C70" t="s">
        <v>151</v>
      </c>
      <c r="D70" s="1" t="s">
        <v>149</v>
      </c>
      <c r="E70" s="18" t="s">
        <v>97</v>
      </c>
      <c r="F70" s="44"/>
      <c r="G70" t="s">
        <v>137</v>
      </c>
      <c r="J70" s="11" t="s">
        <v>319</v>
      </c>
      <c r="K70" s="11"/>
      <c r="L70" s="21"/>
      <c r="M70" s="27" t="s">
        <v>39</v>
      </c>
      <c r="N70" s="22" t="str">
        <f t="shared" ref="N70:N71" si="4">A21</f>
        <v xml:space="preserve">Motor PWM R </v>
      </c>
      <c r="O70" s="22"/>
      <c r="P70" s="23"/>
    </row>
    <row r="71" spans="1:16" x14ac:dyDescent="0.3">
      <c r="A71" t="s">
        <v>193</v>
      </c>
      <c r="B71" t="s">
        <v>190</v>
      </c>
      <c r="C71" t="s">
        <v>191</v>
      </c>
      <c r="D71" t="s">
        <v>40</v>
      </c>
      <c r="E71" s="19" t="s">
        <v>109</v>
      </c>
      <c r="F71" s="43" t="s">
        <v>315</v>
      </c>
      <c r="G71" t="s">
        <v>188</v>
      </c>
      <c r="J71" s="11" t="s">
        <v>194</v>
      </c>
      <c r="K71" s="11"/>
      <c r="L71" s="21" t="s">
        <v>258</v>
      </c>
      <c r="M71" s="27" t="s">
        <v>107</v>
      </c>
      <c r="N71" s="22" t="str">
        <f t="shared" si="4"/>
        <v>Motor Dir A L</v>
      </c>
      <c r="O71" s="22"/>
      <c r="P71" s="23"/>
    </row>
    <row r="72" spans="1:16" x14ac:dyDescent="0.3">
      <c r="A72" t="s">
        <v>192</v>
      </c>
      <c r="B72" t="s">
        <v>190</v>
      </c>
      <c r="C72" t="s">
        <v>191</v>
      </c>
      <c r="D72" t="s">
        <v>40</v>
      </c>
      <c r="E72" s="19" t="s">
        <v>110</v>
      </c>
      <c r="F72" s="43" t="s">
        <v>315</v>
      </c>
      <c r="G72" t="s">
        <v>189</v>
      </c>
      <c r="J72" s="11" t="s">
        <v>194</v>
      </c>
      <c r="K72" s="11"/>
      <c r="L72" s="21" t="s">
        <v>258</v>
      </c>
      <c r="M72" s="27" t="s">
        <v>108</v>
      </c>
      <c r="N72" s="22" t="str">
        <f>A23</f>
        <v>Motor Dir B L</v>
      </c>
      <c r="O72" s="22"/>
      <c r="P72" s="23"/>
    </row>
    <row r="73" spans="1:16" x14ac:dyDescent="0.3">
      <c r="E73" s="9"/>
      <c r="F73" s="45"/>
      <c r="L73" s="21"/>
      <c r="M73" s="28" t="s">
        <v>109</v>
      </c>
      <c r="N73" s="22"/>
      <c r="O73" s="22"/>
      <c r="P73" s="23"/>
    </row>
    <row r="74" spans="1:16" x14ac:dyDescent="0.3">
      <c r="A74" s="13" t="s">
        <v>311</v>
      </c>
      <c r="E74" s="9"/>
      <c r="F74" s="45"/>
      <c r="L74" s="21"/>
      <c r="M74" s="28" t="s">
        <v>110</v>
      </c>
      <c r="N74" s="22"/>
      <c r="O74" s="22"/>
      <c r="P74" s="23"/>
    </row>
    <row r="75" spans="1:16" ht="15.6" x14ac:dyDescent="0.3">
      <c r="A75" t="s">
        <v>288</v>
      </c>
      <c r="B75" t="s">
        <v>292</v>
      </c>
      <c r="C75" t="s">
        <v>290</v>
      </c>
      <c r="D75" s="1" t="s">
        <v>43</v>
      </c>
      <c r="E75" t="s">
        <v>168</v>
      </c>
      <c r="F75" s="46" t="s">
        <v>314</v>
      </c>
      <c r="G75" t="s">
        <v>203</v>
      </c>
      <c r="H75" t="s">
        <v>15</v>
      </c>
      <c r="I75" t="s">
        <v>277</v>
      </c>
      <c r="J75" s="11" t="s">
        <v>295</v>
      </c>
      <c r="L75" s="21"/>
      <c r="M75" s="22"/>
      <c r="N75" s="22"/>
      <c r="O75" s="22"/>
      <c r="P75" s="23"/>
    </row>
    <row r="76" spans="1:16" ht="15.6" x14ac:dyDescent="0.3">
      <c r="A76" t="s">
        <v>289</v>
      </c>
      <c r="B76" t="s">
        <v>293</v>
      </c>
      <c r="C76" t="s">
        <v>291</v>
      </c>
      <c r="D76" s="1" t="s">
        <v>43</v>
      </c>
      <c r="E76" t="s">
        <v>169</v>
      </c>
      <c r="F76" s="46" t="s">
        <v>314</v>
      </c>
      <c r="G76" t="s">
        <v>204</v>
      </c>
      <c r="H76" t="s">
        <v>294</v>
      </c>
      <c r="I76" t="s">
        <v>276</v>
      </c>
      <c r="J76" s="11" t="s">
        <v>295</v>
      </c>
      <c r="L76" s="21" t="s">
        <v>258</v>
      </c>
      <c r="M76" s="22" t="s">
        <v>267</v>
      </c>
      <c r="N76" s="22"/>
      <c r="O76" s="22"/>
      <c r="P76" s="23"/>
    </row>
    <row r="77" spans="1:16" x14ac:dyDescent="0.3">
      <c r="E77" s="9"/>
      <c r="F77" s="45"/>
      <c r="L77" s="21" t="s">
        <v>258</v>
      </c>
      <c r="M77" t="s">
        <v>268</v>
      </c>
      <c r="P77" s="23"/>
    </row>
    <row r="78" spans="1:16" ht="15" thickBot="1" x14ac:dyDescent="0.35">
      <c r="A78" s="13" t="s">
        <v>312</v>
      </c>
      <c r="E78" s="9"/>
      <c r="F78" s="45"/>
      <c r="L78" s="31"/>
      <c r="M78" s="32"/>
      <c r="N78" s="32"/>
      <c r="O78" s="32"/>
      <c r="P78" s="33"/>
    </row>
    <row r="79" spans="1:16" ht="15.6" x14ac:dyDescent="0.3">
      <c r="A79" t="s">
        <v>296</v>
      </c>
      <c r="B79" t="s">
        <v>299</v>
      </c>
      <c r="C79" t="s">
        <v>302</v>
      </c>
      <c r="D79" s="1" t="s">
        <v>305</v>
      </c>
      <c r="E79" t="s">
        <v>165</v>
      </c>
      <c r="F79" s="46" t="s">
        <v>314</v>
      </c>
      <c r="G79" t="s">
        <v>263</v>
      </c>
      <c r="H79" t="s">
        <v>15</v>
      </c>
      <c r="I79" t="s">
        <v>278</v>
      </c>
      <c r="J79" s="11" t="s">
        <v>295</v>
      </c>
    </row>
    <row r="80" spans="1:16" ht="15.6" x14ac:dyDescent="0.3">
      <c r="A80" t="s">
        <v>297</v>
      </c>
      <c r="B80" t="s">
        <v>301</v>
      </c>
      <c r="C80" t="s">
        <v>303</v>
      </c>
      <c r="D80" s="1" t="s">
        <v>305</v>
      </c>
      <c r="E80" t="s">
        <v>166</v>
      </c>
      <c r="F80" s="46" t="s">
        <v>314</v>
      </c>
      <c r="G80" t="s">
        <v>201</v>
      </c>
      <c r="H80" t="s">
        <v>16</v>
      </c>
      <c r="I80" t="s">
        <v>279</v>
      </c>
      <c r="J80" s="11" t="s">
        <v>295</v>
      </c>
    </row>
    <row r="81" spans="1:10" ht="15.6" x14ac:dyDescent="0.3">
      <c r="A81" t="s">
        <v>298</v>
      </c>
      <c r="B81" t="s">
        <v>300</v>
      </c>
      <c r="C81" t="s">
        <v>304</v>
      </c>
      <c r="D81" s="1" t="s">
        <v>305</v>
      </c>
      <c r="E81" t="s">
        <v>167</v>
      </c>
      <c r="F81" s="46" t="s">
        <v>314</v>
      </c>
      <c r="G81" t="s">
        <v>202</v>
      </c>
      <c r="H81" t="s">
        <v>15</v>
      </c>
      <c r="I81" t="s">
        <v>280</v>
      </c>
      <c r="J81" s="11" t="s">
        <v>295</v>
      </c>
    </row>
    <row r="82" spans="1:10" ht="15.6" x14ac:dyDescent="0.3">
      <c r="A82" t="s">
        <v>308</v>
      </c>
      <c r="B82" t="s">
        <v>309</v>
      </c>
      <c r="C82" t="s">
        <v>310</v>
      </c>
      <c r="D82" s="1" t="s">
        <v>305</v>
      </c>
      <c r="E82" t="s">
        <v>162</v>
      </c>
      <c r="F82" s="46" t="s">
        <v>314</v>
      </c>
      <c r="G82" t="s">
        <v>240</v>
      </c>
      <c r="H82" t="s">
        <v>15</v>
      </c>
      <c r="I82" t="s">
        <v>223</v>
      </c>
      <c r="J82" s="11" t="s">
        <v>318</v>
      </c>
    </row>
    <row r="83" spans="1:10" x14ac:dyDescent="0.3">
      <c r="E83" s="9"/>
      <c r="F83" s="45"/>
    </row>
    <row r="84" spans="1:10" x14ac:dyDescent="0.3">
      <c r="A84" s="9" t="s">
        <v>313</v>
      </c>
      <c r="E84" s="9"/>
      <c r="F84" s="45"/>
    </row>
    <row r="85" spans="1:10" x14ac:dyDescent="0.3">
      <c r="A85" t="s">
        <v>172</v>
      </c>
      <c r="E85" t="s">
        <v>172</v>
      </c>
      <c r="F85" s="42" t="s">
        <v>315</v>
      </c>
    </row>
    <row r="86" spans="1:10" x14ac:dyDescent="0.3">
      <c r="A86" t="s">
        <v>176</v>
      </c>
      <c r="E86" t="s">
        <v>176</v>
      </c>
      <c r="F86" s="42" t="s">
        <v>315</v>
      </c>
    </row>
    <row r="87" spans="1:10" ht="15.6" x14ac:dyDescent="0.3">
      <c r="A87" t="s">
        <v>267</v>
      </c>
      <c r="E87" t="s">
        <v>267</v>
      </c>
      <c r="F87" s="46" t="s">
        <v>314</v>
      </c>
    </row>
    <row r="88" spans="1:10" ht="15.6" x14ac:dyDescent="0.3">
      <c r="A88" t="s">
        <v>268</v>
      </c>
      <c r="E88" t="s">
        <v>268</v>
      </c>
      <c r="F88" s="46" t="s">
        <v>314</v>
      </c>
    </row>
    <row r="89" spans="1:10" x14ac:dyDescent="0.3">
      <c r="A89" s="9"/>
      <c r="F89" s="45"/>
    </row>
    <row r="91" spans="1:10" x14ac:dyDescent="0.3">
      <c r="A91" s="1" t="s">
        <v>69</v>
      </c>
      <c r="B91" t="s">
        <v>82</v>
      </c>
    </row>
    <row r="92" spans="1:10" x14ac:dyDescent="0.3">
      <c r="A92" s="8" t="s">
        <v>67</v>
      </c>
      <c r="B92" t="s">
        <v>83</v>
      </c>
    </row>
    <row r="93" spans="1:10" x14ac:dyDescent="0.3">
      <c r="A93" s="8" t="s">
        <v>68</v>
      </c>
      <c r="B93" t="s">
        <v>81</v>
      </c>
    </row>
    <row r="94" spans="1:10" x14ac:dyDescent="0.3">
      <c r="A94" s="8"/>
      <c r="B94" t="s">
        <v>84</v>
      </c>
    </row>
    <row r="95" spans="1:10" x14ac:dyDescent="0.3">
      <c r="A95" s="8"/>
      <c r="B95" t="s">
        <v>102</v>
      </c>
    </row>
    <row r="96" spans="1:10" x14ac:dyDescent="0.3">
      <c r="A96" s="8">
        <v>1.2</v>
      </c>
      <c r="B96" t="s">
        <v>119</v>
      </c>
    </row>
    <row r="97" spans="1:2" x14ac:dyDescent="0.3">
      <c r="A97" s="8"/>
      <c r="B97" t="s">
        <v>120</v>
      </c>
    </row>
    <row r="98" spans="1:2" x14ac:dyDescent="0.3">
      <c r="A98" s="8"/>
      <c r="B98" t="s">
        <v>138</v>
      </c>
    </row>
    <row r="99" spans="1:2" x14ac:dyDescent="0.3">
      <c r="A99" s="8">
        <v>1.3</v>
      </c>
      <c r="B99" t="s">
        <v>139</v>
      </c>
    </row>
    <row r="100" spans="1:2" x14ac:dyDescent="0.3">
      <c r="A100" s="8"/>
      <c r="B100" t="s">
        <v>140</v>
      </c>
    </row>
    <row r="101" spans="1:2" x14ac:dyDescent="0.3">
      <c r="A101" s="8"/>
      <c r="B101" t="s">
        <v>141</v>
      </c>
    </row>
    <row r="102" spans="1:2" x14ac:dyDescent="0.3">
      <c r="A102" s="8"/>
      <c r="B102" t="s">
        <v>142</v>
      </c>
    </row>
    <row r="103" spans="1:2" x14ac:dyDescent="0.3">
      <c r="A103" s="8"/>
      <c r="B103" t="s">
        <v>180</v>
      </c>
    </row>
    <row r="104" spans="1:2" x14ac:dyDescent="0.3">
      <c r="A104" s="8"/>
      <c r="B104" t="s">
        <v>198</v>
      </c>
    </row>
    <row r="105" spans="1:2" x14ac:dyDescent="0.3">
      <c r="A105" s="8">
        <v>1.4</v>
      </c>
      <c r="B105" t="s">
        <v>205</v>
      </c>
    </row>
    <row r="106" spans="1:2" x14ac:dyDescent="0.3">
      <c r="A106" s="8">
        <v>1.5</v>
      </c>
      <c r="B106" t="s">
        <v>215</v>
      </c>
    </row>
    <row r="107" spans="1:2" x14ac:dyDescent="0.3">
      <c r="A107" s="20">
        <v>1.6</v>
      </c>
      <c r="B107" t="s">
        <v>216</v>
      </c>
    </row>
    <row r="108" spans="1:2" x14ac:dyDescent="0.3">
      <c r="A108" s="20"/>
      <c r="B108" t="s">
        <v>221</v>
      </c>
    </row>
    <row r="109" spans="1:2" x14ac:dyDescent="0.3">
      <c r="A109" s="20"/>
      <c r="B109" t="s">
        <v>244</v>
      </c>
    </row>
    <row r="110" spans="1:2" x14ac:dyDescent="0.3">
      <c r="A110" s="20">
        <v>1.7</v>
      </c>
      <c r="B110" t="s">
        <v>246</v>
      </c>
    </row>
    <row r="111" spans="1:2" x14ac:dyDescent="0.3">
      <c r="A111" s="20"/>
      <c r="B111" t="s">
        <v>247</v>
      </c>
    </row>
    <row r="112" spans="1:2" x14ac:dyDescent="0.3">
      <c r="A112" s="20"/>
      <c r="B112" t="s">
        <v>252</v>
      </c>
    </row>
    <row r="113" spans="1:2" x14ac:dyDescent="0.3">
      <c r="A113" s="20"/>
      <c r="B113" t="s">
        <v>259</v>
      </c>
    </row>
    <row r="114" spans="1:2" x14ac:dyDescent="0.3">
      <c r="A114" s="8" t="s">
        <v>260</v>
      </c>
      <c r="B114" t="s">
        <v>261</v>
      </c>
    </row>
    <row r="115" spans="1:2" x14ac:dyDescent="0.3">
      <c r="A115" s="20"/>
      <c r="B115" t="s">
        <v>262</v>
      </c>
    </row>
    <row r="116" spans="1:2" x14ac:dyDescent="0.3">
      <c r="A116" s="20"/>
      <c r="B116" t="s">
        <v>322</v>
      </c>
    </row>
    <row r="117" spans="1:2" x14ac:dyDescent="0.3">
      <c r="A117" s="20">
        <v>2.1</v>
      </c>
      <c r="B117" t="s">
        <v>306</v>
      </c>
    </row>
    <row r="118" spans="1:2" x14ac:dyDescent="0.3">
      <c r="B118" t="s">
        <v>316</v>
      </c>
    </row>
    <row r="119" spans="1:2" x14ac:dyDescent="0.3">
      <c r="B119" t="s">
        <v>317</v>
      </c>
    </row>
  </sheetData>
  <mergeCells count="1">
    <mergeCell ref="L5:P5"/>
  </mergeCells>
  <pageMargins left="0.7" right="0.7" top="0.75" bottom="0.75" header="0.3" footer="0.3"/>
  <pageSetup orientation="portrait" r:id="rId1"/>
  <ignoredErrors>
    <ignoredError sqref="A92:A93 A114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C4"/>
  <sheetViews>
    <sheetView zoomScale="145" zoomScaleNormal="145" workbookViewId="0">
      <selection activeCell="C4" sqref="C1:C1048576"/>
    </sheetView>
  </sheetViews>
  <sheetFormatPr defaultRowHeight="14.4" x14ac:dyDescent="0.3"/>
  <cols>
    <col min="8" max="8" width="0" hidden="1" customWidth="1"/>
  </cols>
  <sheetData>
    <row r="4" spans="3:3" x14ac:dyDescent="0.3">
      <c r="C4" t="s">
        <v>269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5326636A12F4D40BAB9C4C3BE91C35F" ma:contentTypeVersion="13" ma:contentTypeDescription="Create a new document." ma:contentTypeScope="" ma:versionID="884d4ccb34ae21b249b145cb8d6a32a2">
  <xsd:schema xmlns:xsd="http://www.w3.org/2001/XMLSchema" xmlns:xs="http://www.w3.org/2001/XMLSchema" xmlns:p="http://schemas.microsoft.com/office/2006/metadata/properties" xmlns:ns2="38f9abdc-a949-4bb7-8580-ae135d5749e0" xmlns:ns3="271dd7f3-acd9-42d3-838a-3a093e0a2e5f" targetNamespace="http://schemas.microsoft.com/office/2006/metadata/properties" ma:root="true" ma:fieldsID="0dc164f255845c0aef3e6a60d3fc4d85" ns2:_="" ns3:_="">
    <xsd:import namespace="38f9abdc-a949-4bb7-8580-ae135d5749e0"/>
    <xsd:import namespace="271dd7f3-acd9-42d3-838a-3a093e0a2e5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8f9abdc-a949-4bb7-8580-ae135d5749e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71dd7f3-acd9-42d3-838a-3a093e0a2e5f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1FE4DB6-0BC7-4E13-A8A0-5BCE5715FB1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8f9abdc-a949-4bb7-8580-ae135d5749e0"/>
    <ds:schemaRef ds:uri="271dd7f3-acd9-42d3-838a-3a093e0a2e5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0253800-74E5-495B-9373-2B277F3201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CC29FE2-4FB2-469F-9472-7D6F6DDC53C6}">
  <ds:schemaRefs>
    <ds:schemaRef ds:uri="http://schemas.microsoft.com/office/2006/documentManagement/types"/>
    <ds:schemaRef ds:uri="http://schemas.openxmlformats.org/package/2006/metadata/core-properties"/>
    <ds:schemaRef ds:uri="271dd7f3-acd9-42d3-838a-3a093e0a2e5f"/>
    <ds:schemaRef ds:uri="http://purl.org/dc/dcmitype/"/>
    <ds:schemaRef ds:uri="http://schemas.microsoft.com/office/infopath/2007/PartnerControls"/>
    <ds:schemaRef ds:uri="38f9abdc-a949-4bb7-8580-ae135d5749e0"/>
    <ds:schemaRef ds:uri="http://purl.org/dc/elements/1.1/"/>
    <ds:schemaRef ds:uri="http://schemas.microsoft.com/office/2006/metadata/properties"/>
    <ds:schemaRef ds:uri="http://www.w3.org/XML/1998/namespac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Pin Assignments</vt:lpstr>
      <vt:lpstr>Nucleo Connectors</vt:lpstr>
      <vt:lpstr>Nucleo Top-Side 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</dc:creator>
  <cp:lastModifiedBy>Scott Chen</cp:lastModifiedBy>
  <dcterms:created xsi:type="dcterms:W3CDTF">2020-11-13T20:20:55Z</dcterms:created>
  <dcterms:modified xsi:type="dcterms:W3CDTF">2022-03-11T21:24:28Z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0x01010015326636A12F4D40BAB9C4C3BE91C35F</vt:lpwstr>
  </property>
</Properties>
</file>